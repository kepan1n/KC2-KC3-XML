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ОБЪЕКТЫ\СЗ «АСПЕЙС Хорошевская»\Аспейс - ЛЭ (дог. АСП-ХОР_2025 от 22.09.2025)\ВЫПОЛНЕНИЕ ГЕНПОДРЯД\№1 от 31.10.2025 г\"/>
    </mc:Choice>
  </mc:AlternateContent>
  <xr:revisionPtr revIDLastSave="0" documentId="13_ncr:1_{85D2D6B0-7BB8-4BE5-9D02-140042622D02}" xr6:coauthVersionLast="47" xr6:coauthVersionMax="47" xr10:uidLastSave="{00000000-0000-0000-0000-000000000000}"/>
  <bookViews>
    <workbookView xWindow="-28920" yWindow="-120" windowWidth="29040" windowHeight="15840" tabRatio="781" activeTab="2" xr2:uid="{00000000-000D-0000-FFFF-FFFF00000000}"/>
  </bookViews>
  <sheets>
    <sheet name="КС-2 №1" sheetId="48" r:id="rId1"/>
    <sheet name="КС-3 №1" sheetId="49" r:id="rId2"/>
    <sheet name="Удержания" sheetId="50" r:id="rId3"/>
  </sheets>
  <definedNames>
    <definedName name="Print_Area" localSheetId="0">'КС-2 №1'!$B$1:$H$53</definedName>
    <definedName name="Print_Area" localSheetId="1">'КС-3 №1'!$A$1:$F$37</definedName>
    <definedName name="Print_Titles" localSheetId="0">'КС-2 №1'!$28:$28</definedName>
    <definedName name="ЕдИзм">#REF!</definedName>
    <definedName name="код">#REF!</definedName>
    <definedName name="_xlnm.Print_Area" localSheetId="0">'КС-2 №1'!$A$1:$J$57</definedName>
    <definedName name="_xlnm.Print_Area" localSheetId="1">'КС-3 №1'!$A$1:$F$43</definedName>
    <definedName name="_xlnm.Print_Area" localSheetId="2">Удержания!$A$1:$J$35</definedName>
    <definedName name="Работа">OFFSET(#REF!,MATCH(#REF!,#REF!,0)-1,1,COUNTIF(#REF!,#REF!),1)</definedName>
    <definedName name="Способ_учет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" i="50" l="1"/>
  <c r="N12" i="50"/>
  <c r="O12" i="50"/>
  <c r="N11" i="50"/>
  <c r="K48" i="48"/>
  <c r="K44" i="48" l="1"/>
  <c r="L43" i="48"/>
  <c r="K42" i="48"/>
  <c r="K43" i="48"/>
  <c r="G44" i="48"/>
  <c r="G43" i="48"/>
  <c r="I37" i="48"/>
  <c r="F39" i="48" l="1"/>
  <c r="J10" i="50" l="1"/>
  <c r="H8" i="50"/>
  <c r="H9" i="50"/>
  <c r="H10" i="50"/>
  <c r="J8" i="50"/>
  <c r="I10" i="50"/>
  <c r="I8" i="50"/>
  <c r="F12" i="50"/>
  <c r="F13" i="50"/>
  <c r="F14" i="50"/>
  <c r="F15" i="50"/>
  <c r="F16" i="50"/>
  <c r="F17" i="50"/>
  <c r="F11" i="50"/>
  <c r="H12" i="50"/>
  <c r="H15" i="50"/>
  <c r="H16" i="50"/>
  <c r="H17" i="50"/>
  <c r="H11" i="50"/>
  <c r="D19" i="50"/>
  <c r="D20" i="50" s="1"/>
  <c r="J23" i="48"/>
  <c r="F19" i="50" l="1"/>
  <c r="H39" i="48" l="1"/>
  <c r="H40" i="48"/>
  <c r="H41" i="48"/>
  <c r="H42" i="48"/>
  <c r="H43" i="48"/>
  <c r="H44" i="48"/>
  <c r="H38" i="48"/>
  <c r="H37" i="48"/>
  <c r="H36" i="48"/>
  <c r="H34" i="48"/>
  <c r="H32" i="48"/>
  <c r="K47" i="48" s="1"/>
  <c r="H31" i="48"/>
  <c r="K49" i="48" s="1"/>
  <c r="H30" i="48"/>
  <c r="F33" i="48"/>
  <c r="H33" i="48" s="1"/>
  <c r="K46" i="48" s="1"/>
  <c r="G13" i="50" l="1"/>
  <c r="H13" i="50" s="1"/>
  <c r="K45" i="48"/>
  <c r="C11" i="50"/>
  <c r="D15" i="48"/>
  <c r="G14" i="50" l="1"/>
  <c r="G19" i="50" s="1"/>
  <c r="K50" i="48"/>
  <c r="H14" i="50"/>
  <c r="H19" i="50" s="1"/>
  <c r="F30" i="48"/>
  <c r="F20" i="50"/>
  <c r="C19" i="50"/>
  <c r="C20" i="50" s="1"/>
  <c r="D17" i="49"/>
  <c r="B30" i="48"/>
  <c r="B31" i="48" s="1"/>
  <c r="B32" i="48" s="1"/>
  <c r="B33" i="48" s="1"/>
  <c r="B34" i="48" s="1"/>
  <c r="B36" i="48" l="1"/>
  <c r="B37" i="48" s="1"/>
  <c r="B38" i="48" s="1"/>
  <c r="B39" i="48" s="1"/>
  <c r="B40" i="48" s="1"/>
  <c r="B41" i="48" s="1"/>
  <c r="B42" i="48" s="1"/>
  <c r="B43" i="48" s="1"/>
  <c r="B44" i="48" s="1"/>
  <c r="H45" i="48" l="1"/>
  <c r="F17" i="49"/>
  <c r="B11" i="50" l="1"/>
  <c r="L50" i="48"/>
  <c r="H46" i="48"/>
  <c r="I11" i="50" l="1"/>
  <c r="I19" i="50" s="1"/>
  <c r="I20" i="50" s="1"/>
  <c r="B19" i="50"/>
  <c r="B20" i="50" s="1"/>
  <c r="F25" i="49"/>
  <c r="J11" i="50" l="1"/>
  <c r="J19" i="50" s="1"/>
  <c r="J20" i="50" s="1"/>
  <c r="E25" i="49"/>
  <c r="E23" i="49" s="1"/>
  <c r="D25" i="49"/>
  <c r="D23" i="49" s="1"/>
  <c r="F23" i="49"/>
  <c r="F26" i="49"/>
  <c r="F27" i="49" l="1"/>
  <c r="F28" i="49" s="1"/>
  <c r="H20" i="50" l="1"/>
  <c r="G20" i="5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Марина Зорина Сергеевна</author>
  </authors>
  <commentList>
    <comment ref="G11" authorId="0" shapeId="0" xr:uid="{0F737B2E-CED5-4673-AF8D-6D2421AE1F57}">
      <text>
        <r>
          <rPr>
            <b/>
            <sz val="9"/>
            <color indexed="81"/>
            <rFont val="Tahoma"/>
            <family val="2"/>
            <charset val="204"/>
          </rPr>
          <t>Марина Зорина Сергеевна:</t>
        </r>
        <r>
          <rPr>
            <sz val="9"/>
            <color indexed="81"/>
            <rFont val="Tahoma"/>
            <family val="2"/>
            <charset val="204"/>
          </rPr>
          <t xml:space="preserve">
аванс посчитан от суммы работ, в первой версии КС</t>
        </r>
      </text>
    </comment>
  </commentList>
</comments>
</file>

<file path=xl/sharedStrings.xml><?xml version="1.0" encoding="utf-8"?>
<sst xmlns="http://schemas.openxmlformats.org/spreadsheetml/2006/main" count="250" uniqueCount="153">
  <si>
    <t>Унифицированная форма № КС-3</t>
  </si>
  <si>
    <t>Утверждена постановлением Госкомстата России</t>
  </si>
  <si>
    <t>от 11.11.99 № 100</t>
  </si>
  <si>
    <t>Код</t>
  </si>
  <si>
    <t>Форма по ОКУД</t>
  </si>
  <si>
    <t>0322001</t>
  </si>
  <si>
    <t>по ОКПО</t>
  </si>
  <si>
    <t>Вид деятельности по ОКДП</t>
  </si>
  <si>
    <t>Договор подряда (контракт)</t>
  </si>
  <si>
    <t>номер</t>
  </si>
  <si>
    <t>дата</t>
  </si>
  <si>
    <t>Вид операции</t>
  </si>
  <si>
    <t>Номер документа</t>
  </si>
  <si>
    <t>Дата составления</t>
  </si>
  <si>
    <t>Отчётный период</t>
  </si>
  <si>
    <t>с</t>
  </si>
  <si>
    <t>по</t>
  </si>
  <si>
    <t>Справка</t>
  </si>
  <si>
    <t>о стоимости выполненных работ и затрат</t>
  </si>
  <si>
    <t>Наименование пусковых комплексов, этапов,
объектов, видов выполненных работ,
оборудования, затрат</t>
  </si>
  <si>
    <t>Стоимость выполненных работ и затрат,
руб</t>
  </si>
  <si>
    <t>с начала
проведения
работ</t>
  </si>
  <si>
    <t>с начала
года</t>
  </si>
  <si>
    <t>в том числе
за отчетный
период</t>
  </si>
  <si>
    <t>Всего работ и затрат, включаемых в стоимость работ</t>
  </si>
  <si>
    <t>М.П.</t>
  </si>
  <si>
    <t>№ п/п</t>
  </si>
  <si>
    <t>Наименование работ и затрат</t>
  </si>
  <si>
    <t>от 11.11.99. № 100</t>
  </si>
  <si>
    <t>организация, адрес, телефон, факс</t>
  </si>
  <si>
    <t>наименование, адрес</t>
  </si>
  <si>
    <t>наименование</t>
  </si>
  <si>
    <t xml:space="preserve">Вид деятельности по ОКДП  </t>
  </si>
  <si>
    <t xml:space="preserve">Вид операции  </t>
  </si>
  <si>
    <t>AKT</t>
  </si>
  <si>
    <t>О ПРИЕМКЕ ВЫПОЛНЕННЫХ РАБОТ</t>
  </si>
  <si>
    <t>Ед. изм.</t>
  </si>
  <si>
    <t>1</t>
  </si>
  <si>
    <t>м3</t>
  </si>
  <si>
    <t>(должность)</t>
  </si>
  <si>
    <t>(расшифровка подписи)</t>
  </si>
  <si>
    <t xml:space="preserve">А. Дылюк </t>
  </si>
  <si>
    <t>Дылюк А.</t>
  </si>
  <si>
    <t>47810841</t>
  </si>
  <si>
    <t>Генеральный директор ООО «ЛегендаЭлит»</t>
  </si>
  <si>
    <t>№ п/п по смете</t>
  </si>
  <si>
    <t>Принял:</t>
  </si>
  <si>
    <t>Сдал:</t>
  </si>
  <si>
    <t>(подпись)</t>
  </si>
  <si>
    <t>ВСЕГО по Акту:</t>
  </si>
  <si>
    <t>Стройка:</t>
  </si>
  <si>
    <t>Объект:</t>
  </si>
  <si>
    <t>Итого:</t>
  </si>
  <si>
    <t>Сумма НДС (20%)</t>
  </si>
  <si>
    <t>Всего с учетом НДС (20%):</t>
  </si>
  <si>
    <t>в том числе НДС (20%)</t>
  </si>
  <si>
    <t>Объем</t>
  </si>
  <si>
    <t>Цена за ед., руб. с НДС (20%)</t>
  </si>
  <si>
    <t>Общая стоимость, руб. с НДС (20%)</t>
  </si>
  <si>
    <t>Общество с ограниченной ответственностью «ЛегендаЭлит», 109028, г. Москва, пер. Дурасовский, д. 5, стр. 2</t>
  </si>
  <si>
    <t xml:space="preserve">Договор генподряда  </t>
  </si>
  <si>
    <t>Унифицированная форма №КС-2</t>
  </si>
  <si>
    <t>Застройщик:</t>
  </si>
  <si>
    <t>АСП-ХОР/2025</t>
  </si>
  <si>
    <t>22.09.2025 г.</t>
  </si>
  <si>
    <t>Технический Заказчик:</t>
  </si>
  <si>
    <t>Общество с ограниченной ответственностью «Специализированный застройщик «АСПЕЙС Хорошевская», 123112 , г. Москва, наб. Пресненская, д. 6, стр. 2, помещение 34/38</t>
  </si>
  <si>
    <t>Общество с ограниченной ответственностью «А Плюс», 127006, г. Москва, ул. Малая Дмитровка, 18Ас3, пом. 1/3</t>
  </si>
  <si>
    <t>99975557</t>
  </si>
  <si>
    <t>О.В. Смирнов</t>
  </si>
  <si>
    <t>Генеральный директор ООО «А+»</t>
  </si>
  <si>
    <t>Е.С. Воронин</t>
  </si>
  <si>
    <t>ООО «СЗ «АСПЕЙС Хорошевская» в лице Генерального директора управляющей организации ООО «АСПЕЙС Девелопмент»</t>
  </si>
  <si>
    <t>Раздел 2. Фундаментная плита - 2 корпус</t>
  </si>
  <si>
    <t>Код затрат</t>
  </si>
  <si>
    <t>Генподрядчик:</t>
  </si>
  <si>
    <t>СР2030</t>
  </si>
  <si>
    <t>Доработка грунта до проектной отметки вручную и вывозом грунта за пределы строительной площадки</t>
  </si>
  <si>
    <t>Устройство армированной бетонной подготовки т. 350 мм</t>
  </si>
  <si>
    <t>Бетон B25 F150 W8 на гранитном щебне по ГОСТ 26633-2015</t>
  </si>
  <si>
    <t>тн</t>
  </si>
  <si>
    <t>Арматура Ø 12 А500С (100х100 мм)</t>
  </si>
  <si>
    <t>Раздел 3. Фундаментная плита под башенный кран №3</t>
  </si>
  <si>
    <t>Устройство бетонной подготовки т.100 мм</t>
  </si>
  <si>
    <t>Устройство фундаментной плиты т.1500 мм</t>
  </si>
  <si>
    <t>Бетон B25 F150 W8 на гравийном щебне по ГОСТ 26633-2015</t>
  </si>
  <si>
    <t>Арматура ф16 А500С ГОСТ 34028-2016</t>
  </si>
  <si>
    <t>Арматура ф20 А500С ГОСТ 34028-2016</t>
  </si>
  <si>
    <t>Арматура ф25 А500С ГОСТ 34028-2016</t>
  </si>
  <si>
    <t>Лист г/к 10мм ГОСТ 19903-2015</t>
  </si>
  <si>
    <t>Уголок 75х75х5 С245 ГОСТ 8509-93</t>
  </si>
  <si>
    <t>Застройщик: Общество с ограниченной ответственностью «Специализированный застройщик «АСПЕЙС Хорошевская», 123112 , г. Москва, наб. Пресненская, д. 6, стр. 2, помещение 34/38</t>
  </si>
  <si>
    <t>Технический Заказчик: Общество с ограниченной ответственностью «А Плюс», 127006, г. Москва, ул. Малая Дмитровка, 18Ас3, пом. 1/3</t>
  </si>
  <si>
    <t>Генподрядчик: Общество с ограниченной ответственностью «ЛегендаЭлит», 109028, г. Москва, пер. Дурасовский, д. 5, стр. 2</t>
  </si>
  <si>
    <t xml:space="preserve">Объект: Бизнес-центр с подземным паркингом по адресу: г. Москва, шоссе Хорошёвское, вл. 39  </t>
  </si>
  <si>
    <t xml:space="preserve">должность </t>
  </si>
  <si>
    <t>подпись</t>
  </si>
  <si>
    <t>расшифровка подписи</t>
  </si>
  <si>
    <t>Всего работ и затрат, включаемых в стоимость работ в том числе:</t>
  </si>
  <si>
    <t>Закрытие авансов</t>
  </si>
  <si>
    <t>№ п/п, дата</t>
  </si>
  <si>
    <t>Всего работ и затрат в текущих ценах:</t>
  </si>
  <si>
    <t>Всего:</t>
  </si>
  <si>
    <t>в том числе НДС 20%</t>
  </si>
  <si>
    <t>444 от 09.10.2025 г.</t>
  </si>
  <si>
    <t>443 от 09.10.2025 г.</t>
  </si>
  <si>
    <t>447 от 09.10.2025 г.</t>
  </si>
  <si>
    <t>446 от 09.10.2025 г.</t>
  </si>
  <si>
    <t>445 от 09.10.2025 г.</t>
  </si>
  <si>
    <t>Мембрана профилироваанная Planter Eco</t>
  </si>
  <si>
    <t>м2</t>
  </si>
  <si>
    <t>Примечание</t>
  </si>
  <si>
    <t>Проверил:</t>
  </si>
  <si>
    <t xml:space="preserve">Основание: </t>
  </si>
  <si>
    <t>Отчетный период</t>
  </si>
  <si>
    <t>Расход на единицу</t>
  </si>
  <si>
    <t>в том числе:</t>
  </si>
  <si>
    <t>Номер
по порядку</t>
  </si>
  <si>
    <t>Акт №1. Выполнение комплекса строительно-монтажных работ по возведению монолитных ж/б конструкций - фундаментная плита 1 и 2 корпус. Калькуляция №3</t>
  </si>
  <si>
    <t xml:space="preserve">Выполнение комплекса строительно-монтажных работ по возведению монолитных ж/б конструкций - фундаментная плита 1 и 2 корпус. Калькуляция №3. </t>
  </si>
  <si>
    <t>Сумма работ по акту КС-2, руб.</t>
  </si>
  <si>
    <t>Использовано материалов                   (по актам                        КС-2), руб.</t>
  </si>
  <si>
    <t>Полученный аванс, руб.</t>
  </si>
  <si>
    <t>Незакрытый остаток прошлого периода, руб.</t>
  </si>
  <si>
    <t>Сумма закрытия, руб.</t>
  </si>
  <si>
    <t>Остаток к закрытию следующего периода, руб.</t>
  </si>
  <si>
    <t>Удержание 3%, руб.</t>
  </si>
  <si>
    <t>Итого к оплате, руб.</t>
  </si>
  <si>
    <t xml:space="preserve">КС-2 №1. Выполнение комплекса строительно-монтажных работ по возведению монолитных ж/б конструкций - фундаментная плита 1 и 2 корпус. Калькуляция №3 </t>
  </si>
  <si>
    <t xml:space="preserve">                              за октябрь 2025 г.</t>
  </si>
  <si>
    <t xml:space="preserve">на объекте: Бизнес-центр с подземным паркингом по адресу: г. Москва, шоссе Хорошёвское, вл. 39  </t>
  </si>
  <si>
    <t>510 от 21.10.2025 г.</t>
  </si>
  <si>
    <t>515 от 23.10.2025 г.</t>
  </si>
  <si>
    <t>Монтаж виброизоляции Калькуляция №2 (ООО "Гавари Трейд")</t>
  </si>
  <si>
    <t>РАСЧЕТ СУММЫ ПОГАШЕНИЯ АВАНСОВ и ГАРАНТИЙНОГО УДЕРЖАНИЯ</t>
  </si>
  <si>
    <t>Разработка и согласование ППРпс и проекта на фундамент под башенные краны. Мобилизация и демобилизация башенных кранов. Калькуляция №1 (ООО "СМП ТРЭЙД")</t>
  </si>
  <si>
    <t>871 от 12.08.2025 г. (соглашение №1 от 30.09.2025 г. к дог. № 1АС/ХОР - зачет аванса)</t>
  </si>
  <si>
    <t>926 от 21.08.2025 г.  (соглашение №1 от 30.09.2025 г. к дог. № 1АС/ХОР - зачет аванса)</t>
  </si>
  <si>
    <t>498 от 16.10.2025 г.</t>
  </si>
  <si>
    <t>бетон</t>
  </si>
  <si>
    <t>каркас</t>
  </si>
  <si>
    <t>материал, в т.ч.:</t>
  </si>
  <si>
    <t>металлопрокат</t>
  </si>
  <si>
    <t>пр.мат.</t>
  </si>
  <si>
    <t>работа</t>
  </si>
  <si>
    <t>ППРпс</t>
  </si>
  <si>
    <t>БК№3</t>
  </si>
  <si>
    <t>виброзащита (работа)</t>
  </si>
  <si>
    <t>монолит (работа, гидроизоляция)</t>
  </si>
  <si>
    <t xml:space="preserve"> Бизнес-центр с подземным паркингом по адресу: г. Москва, шоссе Хорошёвское, вл. 39  </t>
  </si>
  <si>
    <t xml:space="preserve">Бетон B7,5 П4 F50 W2 (С.9-2) на гравийном щебне по ГОСТ 26633-2015 </t>
  </si>
  <si>
    <t>1м2=78,5кг, 1 лист 353,25 кг</t>
  </si>
  <si>
    <t>1п.м. = 0,0058тн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</si>
</sst>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_р_.;[Red]#,##0.00_р_.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[$$-409]#,##0.00"/>
    <numFmt numFmtId="168" formatCode="0.000"/>
    <numFmt numFmtId="169" formatCode="#,##0.000"/>
    <numFmt numFmtId="170" formatCode="#,##0.00000000"/>
  </numFmts>
  <fonts count="51" x14ac:knownFonts="1">
    <font>
      <sz val="1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</font>
    <font>
      <sz val="8"/>
      <name val="Times New Roman"/>
      <family val="1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04"/>
    </font>
    <font>
      <i/>
      <sz val="11"/>
      <name val="Times New Roman"/>
      <family val="1"/>
      <charset val="204"/>
    </font>
    <font>
      <sz val="10"/>
      <name val="Arial"/>
      <family val="2"/>
    </font>
    <font>
      <sz val="10"/>
      <name val="Helv"/>
    </font>
    <font>
      <sz val="10"/>
      <name val="Arial Cyr"/>
      <family val="2"/>
      <charset val="204"/>
    </font>
    <font>
      <sz val="11"/>
      <color indexed="8"/>
      <name val="Calibri"/>
      <family val="2"/>
    </font>
    <font>
      <sz val="12"/>
      <name val="Arial"/>
      <family val="2"/>
      <charset val="204"/>
    </font>
    <font>
      <sz val="10"/>
      <name val="Verdana"/>
      <family val="2"/>
      <charset val="204"/>
    </font>
    <font>
      <sz val="10"/>
      <color theme="1"/>
      <name val="Calibri"/>
      <family val="1"/>
      <scheme val="minor"/>
    </font>
    <font>
      <sz val="11"/>
      <color theme="1"/>
      <name val="Cambria"/>
      <family val="2"/>
      <charset val="162"/>
    </font>
    <font>
      <sz val="7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3B48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9">
    <xf numFmtId="0" fontId="0" fillId="0" borderId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10" borderId="0" applyNumberFormat="0" applyBorder="0" applyAlignment="0" applyProtection="0"/>
    <xf numFmtId="0" fontId="13" fillId="4" borderId="1" applyNumberFormat="0" applyAlignment="0" applyProtection="0"/>
    <xf numFmtId="0" fontId="14" fillId="11" borderId="2" applyNumberFormat="0" applyAlignment="0" applyProtection="0"/>
    <xf numFmtId="0" fontId="15" fillId="11" borderId="1" applyNumberFormat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12" borderId="7" applyNumberFormat="0" applyAlignment="0" applyProtection="0"/>
    <xf numFmtId="0" fontId="21" fillId="0" borderId="0" applyNumberFormat="0" applyFill="0" applyBorder="0" applyAlignment="0" applyProtection="0"/>
    <xf numFmtId="0" fontId="22" fillId="13" borderId="0" applyNumberFormat="0" applyBorder="0" applyAlignment="0" applyProtection="0"/>
    <xf numFmtId="0" fontId="23" fillId="2" borderId="0" applyNumberFormat="0" applyBorder="0" applyAlignment="0" applyProtection="0"/>
    <xf numFmtId="0" fontId="24" fillId="0" borderId="0" applyNumberFormat="0" applyFill="0" applyBorder="0" applyAlignment="0" applyProtection="0"/>
    <xf numFmtId="0" fontId="11" fillId="14" borderId="8" applyNumberFormat="0" applyFont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0" fontId="27" fillId="3" borderId="0" applyNumberFormat="0" applyBorder="0" applyAlignment="0" applyProtection="0"/>
    <xf numFmtId="0" fontId="11" fillId="0" borderId="0"/>
    <xf numFmtId="0" fontId="4" fillId="0" borderId="0">
      <alignment horizontal="right" vertical="top" wrapText="1"/>
    </xf>
    <xf numFmtId="0" fontId="4" fillId="0" borderId="13">
      <alignment horizontal="center"/>
    </xf>
    <xf numFmtId="0" fontId="4" fillId="0" borderId="13" applyFill="0" applyProtection="0">
      <alignment horizontal="center"/>
    </xf>
    <xf numFmtId="0" fontId="28" fillId="0" borderId="0"/>
    <xf numFmtId="0" fontId="29" fillId="0" borderId="0"/>
    <xf numFmtId="0" fontId="33" fillId="0" borderId="0"/>
    <xf numFmtId="0" fontId="32" fillId="0" borderId="0"/>
    <xf numFmtId="0" fontId="3" fillId="0" borderId="0"/>
    <xf numFmtId="0" fontId="2" fillId="0" borderId="0"/>
    <xf numFmtId="0" fontId="31" fillId="0" borderId="0"/>
    <xf numFmtId="0" fontId="11" fillId="0" borderId="0"/>
    <xf numFmtId="0" fontId="36" fillId="0" borderId="0" applyNumberFormat="0" applyFont="0" applyFill="0" applyBorder="0" applyAlignment="0" applyProtection="0">
      <alignment vertical="top"/>
    </xf>
    <xf numFmtId="0" fontId="37" fillId="0" borderId="0"/>
    <xf numFmtId="166" fontId="11" fillId="0" borderId="0" applyFont="0" applyFill="0" applyBorder="0" applyAlignment="0" applyProtection="0"/>
    <xf numFmtId="0" fontId="11" fillId="0" borderId="0"/>
    <xf numFmtId="0" fontId="33" fillId="0" borderId="0"/>
    <xf numFmtId="0" fontId="33" fillId="0" borderId="0"/>
    <xf numFmtId="0" fontId="29" fillId="0" borderId="0"/>
    <xf numFmtId="0" fontId="38" fillId="0" borderId="0"/>
    <xf numFmtId="0" fontId="29" fillId="0" borderId="0"/>
    <xf numFmtId="0" fontId="11" fillId="0" borderId="0">
      <alignment vertical="top"/>
    </xf>
    <xf numFmtId="0" fontId="4" fillId="0" borderId="13">
      <alignment horizontal="center"/>
    </xf>
    <xf numFmtId="0" fontId="4" fillId="0" borderId="0">
      <alignment vertical="top"/>
    </xf>
    <xf numFmtId="165" fontId="39" fillId="0" borderId="0" applyFont="0" applyFill="0" applyBorder="0" applyAlignment="0" applyProtection="0"/>
    <xf numFmtId="0" fontId="11" fillId="0" borderId="0"/>
    <xf numFmtId="0" fontId="40" fillId="0" borderId="0">
      <alignment horizontal="right" vertical="top" wrapText="1"/>
    </xf>
    <xf numFmtId="0" fontId="4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2" fontId="41" fillId="0" borderId="0">
      <alignment horizontal="right" vertical="top"/>
    </xf>
    <xf numFmtId="0" fontId="11" fillId="0" borderId="0"/>
    <xf numFmtId="0" fontId="4" fillId="0" borderId="0"/>
    <xf numFmtId="0" fontId="4" fillId="0" borderId="13">
      <alignment horizontal="center" wrapText="1"/>
    </xf>
    <xf numFmtId="0" fontId="11" fillId="0" borderId="0">
      <alignment vertical="top"/>
    </xf>
    <xf numFmtId="0" fontId="11" fillId="0" borderId="0">
      <alignment vertical="top"/>
    </xf>
    <xf numFmtId="0" fontId="41" fillId="0" borderId="13">
      <alignment horizontal="center" vertical="top"/>
    </xf>
    <xf numFmtId="0" fontId="41" fillId="0" borderId="13">
      <alignment horizontal="center" vertical="center"/>
    </xf>
    <xf numFmtId="0" fontId="1" fillId="0" borderId="0"/>
    <xf numFmtId="0" fontId="11" fillId="0" borderId="0"/>
    <xf numFmtId="0" fontId="1" fillId="0" borderId="0"/>
    <xf numFmtId="0" fontId="29" fillId="0" borderId="0"/>
    <xf numFmtId="0" fontId="29" fillId="0" borderId="0"/>
    <xf numFmtId="0" fontId="4" fillId="0" borderId="0"/>
    <xf numFmtId="0" fontId="4" fillId="0" borderId="13">
      <alignment horizontal="center" wrapText="1"/>
    </xf>
    <xf numFmtId="0" fontId="4" fillId="0" borderId="13">
      <alignment horizontal="center"/>
    </xf>
    <xf numFmtId="0" fontId="4" fillId="0" borderId="13">
      <alignment horizontal="center" wrapText="1"/>
    </xf>
    <xf numFmtId="0" fontId="11" fillId="0" borderId="0"/>
    <xf numFmtId="0" fontId="4" fillId="0" borderId="0">
      <alignment horizontal="center"/>
    </xf>
    <xf numFmtId="0" fontId="4" fillId="0" borderId="0">
      <alignment horizontal="left" vertical="top"/>
    </xf>
    <xf numFmtId="0" fontId="4" fillId="0" borderId="0"/>
    <xf numFmtId="0" fontId="42" fillId="0" borderId="0"/>
    <xf numFmtId="167" fontId="33" fillId="0" borderId="0"/>
    <xf numFmtId="167" fontId="43" fillId="0" borderId="0"/>
    <xf numFmtId="167" fontId="33" fillId="0" borderId="0"/>
    <xf numFmtId="166" fontId="39" fillId="0" borderId="0" applyFont="0" applyFill="0" applyBorder="0" applyAlignment="0" applyProtection="0"/>
    <xf numFmtId="167" fontId="33" fillId="0" borderId="0"/>
    <xf numFmtId="9" fontId="33" fillId="0" borderId="0" applyFont="0" applyFill="0" applyBorder="0" applyAlignment="0" applyProtection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4" fillId="0" borderId="0"/>
    <xf numFmtId="0" fontId="1" fillId="0" borderId="0"/>
    <xf numFmtId="0" fontId="1" fillId="0" borderId="0"/>
    <xf numFmtId="0" fontId="33" fillId="0" borderId="0"/>
    <xf numFmtId="166" fontId="33" fillId="0" borderId="0" applyFont="0" applyFill="0" applyBorder="0" applyAlignment="0" applyProtection="0"/>
    <xf numFmtId="0" fontId="29" fillId="0" borderId="0"/>
    <xf numFmtId="0" fontId="29" fillId="0" borderId="0"/>
  </cellStyleXfs>
  <cellXfs count="23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 vertical="top"/>
    </xf>
    <xf numFmtId="0" fontId="4" fillId="0" borderId="10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8" fillId="0" borderId="13" xfId="0" applyFont="1" applyBorder="1" applyAlignment="1">
      <alignment horizontal="center" vertical="center"/>
    </xf>
    <xf numFmtId="4" fontId="0" fillId="0" borderId="0" xfId="0" applyNumberFormat="1"/>
    <xf numFmtId="0" fontId="9" fillId="0" borderId="20" xfId="0" applyFont="1" applyBorder="1" applyAlignment="1">
      <alignment horizontal="right"/>
    </xf>
    <xf numFmtId="0" fontId="4" fillId="0" borderId="13" xfId="0" applyFont="1" applyBorder="1" applyAlignment="1">
      <alignment wrapText="1"/>
    </xf>
    <xf numFmtId="0" fontId="4" fillId="0" borderId="13" xfId="0" applyFont="1" applyBorder="1"/>
    <xf numFmtId="0" fontId="34" fillId="0" borderId="0" xfId="0" applyFont="1"/>
    <xf numFmtId="0" fontId="31" fillId="0" borderId="0" xfId="29" applyFont="1"/>
    <xf numFmtId="0" fontId="4" fillId="0" borderId="0" xfId="29" applyFont="1"/>
    <xf numFmtId="16" fontId="31" fillId="0" borderId="0" xfId="29" applyNumberFormat="1" applyFont="1" applyAlignment="1">
      <alignment horizontal="center" vertical="center"/>
    </xf>
    <xf numFmtId="0" fontId="31" fillId="0" borderId="0" xfId="29" applyFont="1" applyAlignment="1">
      <alignment horizontal="center" vertical="center"/>
    </xf>
    <xf numFmtId="0" fontId="10" fillId="0" borderId="22" xfId="29" applyFont="1" applyBorder="1" applyAlignment="1">
      <alignment horizontal="center"/>
    </xf>
    <xf numFmtId="0" fontId="10" fillId="0" borderId="0" xfId="29" applyFont="1"/>
    <xf numFmtId="0" fontId="31" fillId="0" borderId="0" xfId="29" applyFont="1" applyAlignment="1">
      <alignment horizontal="center"/>
    </xf>
    <xf numFmtId="164" fontId="4" fillId="0" borderId="0" xfId="29" applyNumberFormat="1" applyFont="1"/>
    <xf numFmtId="0" fontId="30" fillId="0" borderId="0" xfId="29" applyFont="1"/>
    <xf numFmtId="0" fontId="34" fillId="0" borderId="0" xfId="0" applyFont="1" applyAlignment="1">
      <alignment horizontal="right"/>
    </xf>
    <xf numFmtId="4" fontId="34" fillId="0" borderId="0" xfId="0" applyNumberFormat="1" applyFont="1"/>
    <xf numFmtId="4" fontId="4" fillId="0" borderId="0" xfId="0" applyNumberFormat="1" applyFont="1"/>
    <xf numFmtId="4" fontId="4" fillId="0" borderId="13" xfId="0" applyNumberFormat="1" applyFont="1" applyBorder="1" applyAlignment="1">
      <alignment vertical="center"/>
    </xf>
    <xf numFmtId="4" fontId="4" fillId="15" borderId="13" xfId="0" applyNumberFormat="1" applyFont="1" applyFill="1" applyBorder="1" applyAlignment="1">
      <alignment vertical="center"/>
    </xf>
    <xf numFmtId="4" fontId="34" fillId="0" borderId="13" xfId="0" applyNumberFormat="1" applyFont="1" applyBorder="1" applyAlignment="1">
      <alignment vertical="center"/>
    </xf>
    <xf numFmtId="4" fontId="34" fillId="0" borderId="0" xfId="0" applyNumberFormat="1" applyFont="1" applyAlignment="1">
      <alignment horizontal="right"/>
    </xf>
    <xf numFmtId="0" fontId="9" fillId="0" borderId="20" xfId="0" applyFont="1" applyBorder="1" applyAlignment="1">
      <alignment horizontal="left" wrapText="1"/>
    </xf>
    <xf numFmtId="0" fontId="31" fillId="0" borderId="0" xfId="29" applyFont="1" applyAlignment="1">
      <alignment horizontal="right"/>
    </xf>
    <xf numFmtId="0" fontId="31" fillId="0" borderId="0" xfId="29" applyFont="1" applyAlignment="1">
      <alignment horizontal="center" wrapText="1"/>
    </xf>
    <xf numFmtId="0" fontId="31" fillId="0" borderId="11" xfId="29" applyFont="1" applyBorder="1" applyAlignment="1">
      <alignment horizontal="center" vertical="center" wrapText="1"/>
    </xf>
    <xf numFmtId="16" fontId="7" fillId="0" borderId="11" xfId="29" applyNumberFormat="1" applyFont="1" applyBorder="1" applyAlignment="1">
      <alignment horizontal="center" vertical="center"/>
    </xf>
    <xf numFmtId="0" fontId="10" fillId="0" borderId="0" xfId="29" applyFont="1" applyAlignment="1">
      <alignment horizont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44" fillId="0" borderId="0" xfId="35" applyFont="1"/>
    <xf numFmtId="0" fontId="4" fillId="0" borderId="0" xfId="35" applyFont="1" applyAlignment="1">
      <alignment horizontal="right"/>
    </xf>
    <xf numFmtId="0" fontId="4" fillId="0" borderId="0" xfId="29" applyFont="1" applyAlignment="1">
      <alignment vertical="center"/>
    </xf>
    <xf numFmtId="0" fontId="31" fillId="0" borderId="13" xfId="29" applyFont="1" applyBorder="1" applyAlignment="1">
      <alignment horizontal="center"/>
    </xf>
    <xf numFmtId="0" fontId="4" fillId="0" borderId="0" xfId="29" applyFont="1" applyAlignment="1">
      <alignment horizontal="right" vertical="center"/>
    </xf>
    <xf numFmtId="0" fontId="31" fillId="0" borderId="13" xfId="29" quotePrefix="1" applyFont="1" applyBorder="1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right" vertical="center"/>
    </xf>
    <xf numFmtId="0" fontId="34" fillId="16" borderId="13" xfId="0" applyFont="1" applyFill="1" applyBorder="1" applyAlignment="1">
      <alignment horizontal="left" wrapText="1"/>
    </xf>
    <xf numFmtId="0" fontId="30" fillId="0" borderId="13" xfId="29" applyFont="1" applyBorder="1"/>
    <xf numFmtId="0" fontId="4" fillId="0" borderId="22" xfId="29" applyFont="1" applyBorder="1"/>
    <xf numFmtId="0" fontId="10" fillId="0" borderId="22" xfId="29" applyFont="1" applyBorder="1"/>
    <xf numFmtId="0" fontId="4" fillId="0" borderId="13" xfId="29" applyFont="1" applyBorder="1" applyAlignment="1">
      <alignment horizontal="center" vertical="center"/>
    </xf>
    <xf numFmtId="16" fontId="34" fillId="0" borderId="11" xfId="29" applyNumberFormat="1" applyFont="1" applyBorder="1" applyAlignment="1">
      <alignment horizontal="center" vertical="center"/>
    </xf>
    <xf numFmtId="0" fontId="30" fillId="0" borderId="0" xfId="29" applyFont="1" applyAlignment="1">
      <alignment vertical="top"/>
    </xf>
    <xf numFmtId="0" fontId="10" fillId="0" borderId="0" xfId="29" applyFont="1" applyAlignment="1">
      <alignment vertical="top"/>
    </xf>
    <xf numFmtId="0" fontId="34" fillId="0" borderId="13" xfId="0" applyFont="1" applyBorder="1" applyAlignment="1">
      <alignment wrapText="1"/>
    </xf>
    <xf numFmtId="0" fontId="34" fillId="0" borderId="13" xfId="0" applyFont="1" applyBorder="1"/>
    <xf numFmtId="0" fontId="34" fillId="0" borderId="0" xfId="0" applyFont="1" applyAlignment="1">
      <alignment vertical="center" wrapText="1"/>
    </xf>
    <xf numFmtId="0" fontId="5" fillId="0" borderId="0" xfId="0" applyFont="1" applyAlignment="1">
      <alignment horizontal="center" vertical="top"/>
    </xf>
    <xf numFmtId="0" fontId="4" fillId="0" borderId="20" xfId="0" applyFont="1" applyBorder="1" applyAlignment="1">
      <alignment vertical="center"/>
    </xf>
    <xf numFmtId="4" fontId="34" fillId="0" borderId="11" xfId="0" applyNumberFormat="1" applyFont="1" applyBorder="1" applyAlignment="1">
      <alignment vertical="center"/>
    </xf>
    <xf numFmtId="4" fontId="4" fillId="0" borderId="11" xfId="0" applyNumberFormat="1" applyFont="1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30" fillId="0" borderId="13" xfId="29" applyFont="1" applyBorder="1" applyAlignment="1">
      <alignment horizontal="center"/>
    </xf>
    <xf numFmtId="0" fontId="30" fillId="0" borderId="13" xfId="29" applyFont="1" applyBorder="1" applyAlignment="1">
      <alignment horizontal="center" wrapText="1"/>
    </xf>
    <xf numFmtId="0" fontId="4" fillId="0" borderId="0" xfId="0" applyFont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7" fillId="0" borderId="0" xfId="29" applyFont="1"/>
    <xf numFmtId="0" fontId="8" fillId="0" borderId="11" xfId="29" applyFont="1" applyBorder="1" applyAlignment="1">
      <alignment horizontal="center" vertical="center" wrapText="1"/>
    </xf>
    <xf numFmtId="0" fontId="47" fillId="16" borderId="13" xfId="0" applyFont="1" applyFill="1" applyBorder="1" applyAlignment="1">
      <alignment horizontal="left" wrapText="1"/>
    </xf>
    <xf numFmtId="0" fontId="35" fillId="0" borderId="0" xfId="29" applyFont="1" applyAlignment="1">
      <alignment horizontal="center" wrapText="1"/>
    </xf>
    <xf numFmtId="0" fontId="31" fillId="0" borderId="13" xfId="29" applyFont="1" applyBorder="1"/>
    <xf numFmtId="0" fontId="34" fillId="16" borderId="11" xfId="0" applyFont="1" applyFill="1" applyBorder="1" applyAlignment="1">
      <alignment horizontal="left" wrapText="1"/>
    </xf>
    <xf numFmtId="0" fontId="48" fillId="0" borderId="11" xfId="29" applyFont="1" applyBorder="1" applyAlignment="1">
      <alignment horizontal="center" vertical="center" wrapText="1"/>
    </xf>
    <xf numFmtId="0" fontId="45" fillId="0" borderId="11" xfId="29" applyFont="1" applyBorder="1" applyAlignment="1">
      <alignment horizontal="center" vertical="center" wrapText="1"/>
    </xf>
    <xf numFmtId="4" fontId="4" fillId="0" borderId="0" xfId="29" applyNumberFormat="1" applyFont="1"/>
    <xf numFmtId="0" fontId="4" fillId="0" borderId="14" xfId="29" applyFont="1" applyBorder="1" applyAlignment="1">
      <alignment horizontal="center" vertical="center" wrapText="1"/>
    </xf>
    <xf numFmtId="0" fontId="4" fillId="0" borderId="10" xfId="29" applyFont="1" applyBorder="1" applyAlignment="1">
      <alignment horizontal="center" vertical="center" wrapText="1"/>
    </xf>
    <xf numFmtId="0" fontId="34" fillId="0" borderId="13" xfId="29" applyFont="1" applyBorder="1" applyAlignment="1">
      <alignment horizontal="center" vertical="center" wrapText="1"/>
    </xf>
    <xf numFmtId="0" fontId="4" fillId="0" borderId="0" xfId="29" applyFont="1" applyAlignment="1">
      <alignment horizontal="center"/>
    </xf>
    <xf numFmtId="0" fontId="4" fillId="0" borderId="10" xfId="29" applyFont="1" applyBorder="1" applyAlignment="1">
      <alignment horizontal="center" vertical="center"/>
    </xf>
    <xf numFmtId="0" fontId="4" fillId="0" borderId="13" xfId="29" applyFont="1" applyBorder="1" applyAlignment="1">
      <alignment horizontal="center" vertical="center" wrapText="1"/>
    </xf>
    <xf numFmtId="16" fontId="4" fillId="0" borderId="0" xfId="29" applyNumberFormat="1" applyFont="1" applyAlignment="1">
      <alignment horizontal="center" vertical="center"/>
    </xf>
    <xf numFmtId="0" fontId="34" fillId="0" borderId="0" xfId="29" applyFont="1" applyAlignment="1">
      <alignment horizontal="right" vertical="center" wrapText="1"/>
    </xf>
    <xf numFmtId="0" fontId="4" fillId="0" borderId="0" xfId="29" applyFont="1" applyAlignment="1">
      <alignment horizontal="center" vertical="center"/>
    </xf>
    <xf numFmtId="0" fontId="4" fillId="0" borderId="0" xfId="29" applyFont="1" applyAlignment="1">
      <alignment horizontal="center" vertical="center" wrapText="1"/>
    </xf>
    <xf numFmtId="164" fontId="34" fillId="0" borderId="0" xfId="29" applyNumberFormat="1" applyFont="1" applyAlignment="1">
      <alignment horizontal="right" vertical="center" wrapText="1"/>
    </xf>
    <xf numFmtId="164" fontId="34" fillId="0" borderId="0" xfId="29" applyNumberFormat="1" applyFont="1" applyAlignment="1">
      <alignment horizontal="center" vertical="center" wrapText="1"/>
    </xf>
    <xf numFmtId="0" fontId="4" fillId="0" borderId="0" xfId="29" applyFont="1" applyAlignment="1">
      <alignment vertical="center" wrapText="1"/>
    </xf>
    <xf numFmtId="0" fontId="4" fillId="0" borderId="20" xfId="29" applyFont="1" applyBorder="1" applyAlignment="1">
      <alignment vertical="center" wrapText="1"/>
    </xf>
    <xf numFmtId="0" fontId="4" fillId="0" borderId="11" xfId="29" applyFont="1" applyBorder="1" applyAlignment="1">
      <alignment horizontal="center" vertical="center"/>
    </xf>
    <xf numFmtId="0" fontId="4" fillId="0" borderId="11" xfId="29" applyFont="1" applyBorder="1" applyAlignment="1">
      <alignment horizontal="center" vertical="center" wrapText="1"/>
    </xf>
    <xf numFmtId="0" fontId="4" fillId="16" borderId="11" xfId="29" applyFont="1" applyFill="1" applyBorder="1" applyAlignment="1">
      <alignment horizontal="center" vertical="center"/>
    </xf>
    <xf numFmtId="0" fontId="4" fillId="0" borderId="13" xfId="29" applyFont="1" applyBorder="1" applyAlignment="1">
      <alignment horizontal="center"/>
    </xf>
    <xf numFmtId="4" fontId="4" fillId="15" borderId="11" xfId="32" applyNumberFormat="1" applyFont="1" applyFill="1" applyBorder="1" applyAlignment="1">
      <alignment horizontal="left" vertical="center" wrapText="1"/>
    </xf>
    <xf numFmtId="4" fontId="4" fillId="15" borderId="13" xfId="32" applyNumberFormat="1" applyFont="1" applyFill="1" applyBorder="1" applyAlignment="1">
      <alignment horizontal="center" vertical="center"/>
    </xf>
    <xf numFmtId="4" fontId="4" fillId="0" borderId="11" xfId="29" applyNumberFormat="1" applyFont="1" applyBorder="1" applyAlignment="1">
      <alignment horizontal="right" vertical="center" wrapText="1"/>
    </xf>
    <xf numFmtId="0" fontId="4" fillId="0" borderId="13" xfId="29" applyFont="1" applyBorder="1" applyAlignment="1">
      <alignment horizontal="center" wrapText="1"/>
    </xf>
    <xf numFmtId="0" fontId="45" fillId="0" borderId="13" xfId="29" applyFont="1" applyBorder="1" applyAlignment="1">
      <alignment horizontal="center" vertical="center" wrapText="1"/>
    </xf>
    <xf numFmtId="4" fontId="45" fillId="15" borderId="11" xfId="32" applyNumberFormat="1" applyFont="1" applyFill="1" applyBorder="1" applyAlignment="1">
      <alignment horizontal="right" vertical="center" wrapText="1"/>
    </xf>
    <xf numFmtId="4" fontId="45" fillId="15" borderId="13" xfId="32" applyNumberFormat="1" applyFont="1" applyFill="1" applyBorder="1" applyAlignment="1">
      <alignment horizontal="center" vertical="center"/>
    </xf>
    <xf numFmtId="4" fontId="45" fillId="0" borderId="11" xfId="29" applyNumberFormat="1" applyFont="1" applyBorder="1" applyAlignment="1">
      <alignment horizontal="right" vertical="center" wrapText="1"/>
    </xf>
    <xf numFmtId="0" fontId="45" fillId="0" borderId="13" xfId="29" applyFont="1" applyBorder="1" applyAlignment="1">
      <alignment horizontal="center" wrapText="1"/>
    </xf>
    <xf numFmtId="0" fontId="4" fillId="16" borderId="13" xfId="29" applyFont="1" applyFill="1" applyBorder="1" applyAlignment="1">
      <alignment horizontal="center" vertical="center" wrapText="1"/>
    </xf>
    <xf numFmtId="4" fontId="34" fillId="0" borderId="11" xfId="29" applyNumberFormat="1" applyFont="1" applyBorder="1" applyAlignment="1">
      <alignment horizontal="right" vertical="center" wrapText="1"/>
    </xf>
    <xf numFmtId="164" fontId="4" fillId="0" borderId="11" xfId="29" applyNumberFormat="1" applyFont="1" applyBorder="1" applyAlignment="1">
      <alignment horizontal="right" vertical="center" wrapText="1"/>
    </xf>
    <xf numFmtId="0" fontId="35" fillId="0" borderId="0" xfId="29" applyFont="1" applyAlignment="1">
      <alignment horizontal="left"/>
    </xf>
    <xf numFmtId="0" fontId="4" fillId="18" borderId="13" xfId="29" applyFont="1" applyFill="1" applyBorder="1" applyAlignment="1">
      <alignment horizontal="center"/>
    </xf>
    <xf numFmtId="0" fontId="4" fillId="18" borderId="13" xfId="29" applyFont="1" applyFill="1" applyBorder="1" applyAlignment="1">
      <alignment horizontal="center" wrapText="1"/>
    </xf>
    <xf numFmtId="0" fontId="4" fillId="0" borderId="20" xfId="29" applyFont="1" applyBorder="1" applyAlignment="1">
      <alignment wrapText="1"/>
    </xf>
    <xf numFmtId="0" fontId="4" fillId="0" borderId="20" xfId="29" applyFont="1" applyBorder="1"/>
    <xf numFmtId="49" fontId="4" fillId="0" borderId="13" xfId="29" applyNumberFormat="1" applyFont="1" applyBorder="1" applyAlignment="1">
      <alignment horizontal="center"/>
    </xf>
    <xf numFmtId="49" fontId="31" fillId="0" borderId="13" xfId="29" applyNumberFormat="1" applyFont="1" applyBorder="1" applyAlignment="1">
      <alignment horizontal="center"/>
    </xf>
    <xf numFmtId="0" fontId="7" fillId="16" borderId="13" xfId="0" applyFont="1" applyFill="1" applyBorder="1" applyAlignment="1">
      <alignment horizontal="left" wrapText="1"/>
    </xf>
    <xf numFmtId="168" fontId="45" fillId="0" borderId="13" xfId="0" applyNumberFormat="1" applyFont="1" applyBorder="1" applyAlignment="1">
      <alignment horizontal="right" wrapText="1"/>
    </xf>
    <xf numFmtId="168" fontId="45" fillId="0" borderId="11" xfId="0" applyNumberFormat="1" applyFont="1" applyBorder="1" applyAlignment="1">
      <alignment horizontal="right" wrapText="1"/>
    </xf>
    <xf numFmtId="0" fontId="4" fillId="0" borderId="13" xfId="0" applyFont="1" applyBorder="1" applyAlignment="1">
      <alignment horizontal="right" wrapText="1"/>
    </xf>
    <xf numFmtId="4" fontId="4" fillId="15" borderId="13" xfId="0" applyNumberFormat="1" applyFont="1" applyFill="1" applyBorder="1" applyAlignment="1">
      <alignment horizontal="center" vertical="center" wrapText="1"/>
    </xf>
    <xf numFmtId="0" fontId="4" fillId="0" borderId="20" xfId="0" applyFont="1" applyBorder="1"/>
    <xf numFmtId="0" fontId="34" fillId="0" borderId="0" xfId="0" applyFont="1" applyAlignment="1">
      <alignment wrapText="1"/>
    </xf>
    <xf numFmtId="0" fontId="4" fillId="0" borderId="11" xfId="29" applyFont="1" applyBorder="1" applyAlignment="1">
      <alignment horizontal="center"/>
    </xf>
    <xf numFmtId="0" fontId="4" fillId="0" borderId="0" xfId="29" applyFont="1" applyAlignment="1">
      <alignment horizontal="right"/>
    </xf>
    <xf numFmtId="0" fontId="34" fillId="0" borderId="0" xfId="29" applyFont="1" applyAlignment="1">
      <alignment horizontal="center"/>
    </xf>
    <xf numFmtId="14" fontId="4" fillId="0" borderId="13" xfId="29" applyNumberFormat="1" applyFont="1" applyBorder="1" applyAlignment="1">
      <alignment horizontal="center"/>
    </xf>
    <xf numFmtId="0" fontId="34" fillId="0" borderId="0" xfId="29" applyFont="1"/>
    <xf numFmtId="0" fontId="4" fillId="0" borderId="0" xfId="29" applyFont="1" applyAlignment="1">
      <alignment horizontal="left" vertical="center" wrapText="1"/>
    </xf>
    <xf numFmtId="2" fontId="4" fillId="0" borderId="13" xfId="0" applyNumberFormat="1" applyFont="1" applyBorder="1" applyAlignment="1">
      <alignment horizontal="center" vertical="center"/>
    </xf>
    <xf numFmtId="4" fontId="4" fillId="0" borderId="11" xfId="0" applyNumberFormat="1" applyFont="1" applyBorder="1" applyAlignment="1">
      <alignment horizontal="center" vertical="center" wrapText="1"/>
    </xf>
    <xf numFmtId="2" fontId="45" fillId="0" borderId="13" xfId="0" applyNumberFormat="1" applyFont="1" applyBorder="1" applyAlignment="1">
      <alignment horizontal="center" vertical="center"/>
    </xf>
    <xf numFmtId="4" fontId="45" fillId="0" borderId="11" xfId="0" applyNumberFormat="1" applyFont="1" applyBorder="1" applyAlignment="1">
      <alignment horizontal="center" vertical="center" wrapText="1"/>
    </xf>
    <xf numFmtId="4" fontId="45" fillId="15" borderId="13" xfId="0" applyNumberFormat="1" applyFont="1" applyFill="1" applyBorder="1" applyAlignment="1">
      <alignment horizontal="center" vertical="center" wrapText="1"/>
    </xf>
    <xf numFmtId="169" fontId="45" fillId="0" borderId="11" xfId="29" applyNumberFormat="1" applyFont="1" applyBorder="1" applyAlignment="1">
      <alignment horizontal="right" vertical="center" wrapText="1"/>
    </xf>
    <xf numFmtId="2" fontId="4" fillId="16" borderId="13" xfId="0" applyNumberFormat="1" applyFont="1" applyFill="1" applyBorder="1" applyAlignment="1">
      <alignment horizontal="left" wrapText="1"/>
    </xf>
    <xf numFmtId="0" fontId="4" fillId="0" borderId="20" xfId="29" applyFont="1" applyBorder="1" applyAlignment="1">
      <alignment horizontal="center"/>
    </xf>
    <xf numFmtId="0" fontId="4" fillId="0" borderId="20" xfId="29" applyFont="1" applyBorder="1" applyAlignment="1">
      <alignment horizontal="right"/>
    </xf>
    <xf numFmtId="0" fontId="3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3" xfId="0" applyFont="1" applyBorder="1" applyAlignment="1">
      <alignment horizontal="right" vertical="center" wrapText="1"/>
    </xf>
    <xf numFmtId="4" fontId="4" fillId="0" borderId="14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right" vertical="center" wrapText="1"/>
    </xf>
    <xf numFmtId="0" fontId="45" fillId="0" borderId="13" xfId="0" applyFont="1" applyBorder="1" applyAlignment="1">
      <alignment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vertical="center" wrapText="1"/>
    </xf>
    <xf numFmtId="4" fontId="46" fillId="17" borderId="13" xfId="0" applyNumberFormat="1" applyFont="1" applyFill="1" applyBorder="1" applyAlignment="1">
      <alignment vertical="center" wrapText="1"/>
    </xf>
    <xf numFmtId="4" fontId="46" fillId="17" borderId="13" xfId="0" applyNumberFormat="1" applyFont="1" applyFill="1" applyBorder="1" applyAlignment="1">
      <alignment horizontal="center" vertical="center" wrapText="1"/>
    </xf>
    <xf numFmtId="0" fontId="34" fillId="0" borderId="13" xfId="0" applyFont="1" applyBorder="1" applyAlignment="1">
      <alignment vertical="center" wrapText="1"/>
    </xf>
    <xf numFmtId="4" fontId="34" fillId="0" borderId="13" xfId="0" applyNumberFormat="1" applyFont="1" applyBorder="1" applyAlignment="1">
      <alignment horizontal="center" vertical="center" wrapText="1"/>
    </xf>
    <xf numFmtId="4" fontId="34" fillId="0" borderId="13" xfId="0" applyNumberFormat="1" applyFont="1" applyBorder="1" applyAlignment="1">
      <alignment horizontal="right" vertical="center" wrapText="1"/>
    </xf>
    <xf numFmtId="0" fontId="4" fillId="0" borderId="14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0" fillId="0" borderId="0" xfId="0" applyFont="1"/>
    <xf numFmtId="49" fontId="4" fillId="0" borderId="13" xfId="29" applyNumberFormat="1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/>
    </xf>
    <xf numFmtId="14" fontId="4" fillId="0" borderId="13" xfId="0" applyNumberFormat="1" applyFont="1" applyBorder="1" applyAlignment="1">
      <alignment horizontal="center"/>
    </xf>
    <xf numFmtId="4" fontId="34" fillId="0" borderId="0" xfId="0" applyNumberFormat="1" applyFont="1" applyAlignment="1">
      <alignment vertical="center"/>
    </xf>
    <xf numFmtId="0" fontId="0" fillId="0" borderId="20" xfId="0" applyBorder="1"/>
    <xf numFmtId="4" fontId="45" fillId="0" borderId="11" xfId="32" applyNumberFormat="1" applyFont="1" applyBorder="1" applyAlignment="1">
      <alignment horizontal="right" vertical="center" wrapText="1"/>
    </xf>
    <xf numFmtId="4" fontId="45" fillId="0" borderId="13" xfId="32" applyNumberFormat="1" applyFont="1" applyBorder="1" applyAlignment="1">
      <alignment horizontal="center" vertical="center"/>
    </xf>
    <xf numFmtId="4" fontId="45" fillId="0" borderId="13" xfId="0" applyNumberFormat="1" applyFont="1" applyBorder="1" applyAlignment="1">
      <alignment horizontal="center" vertical="center" wrapText="1"/>
    </xf>
    <xf numFmtId="0" fontId="35" fillId="0" borderId="0" xfId="29" applyFont="1" applyAlignment="1">
      <alignment horizontal="right" wrapText="1"/>
    </xf>
    <xf numFmtId="4" fontId="31" fillId="0" borderId="0" xfId="29" applyNumberFormat="1" applyFont="1" applyAlignment="1">
      <alignment horizontal="right"/>
    </xf>
    <xf numFmtId="0" fontId="4" fillId="0" borderId="11" xfId="29" applyFont="1" applyBorder="1" applyAlignment="1">
      <alignment horizontal="center" wrapText="1"/>
    </xf>
    <xf numFmtId="0" fontId="4" fillId="0" borderId="11" xfId="29" applyFont="1" applyBorder="1"/>
    <xf numFmtId="4" fontId="7" fillId="0" borderId="13" xfId="29" applyNumberFormat="1" applyFont="1" applyBorder="1" applyAlignment="1">
      <alignment horizontal="right" wrapText="1"/>
    </xf>
    <xf numFmtId="0" fontId="34" fillId="0" borderId="13" xfId="29" applyFont="1" applyBorder="1" applyAlignment="1">
      <alignment horizontal="left"/>
    </xf>
    <xf numFmtId="4" fontId="31" fillId="0" borderId="13" xfId="29" applyNumberFormat="1" applyFont="1" applyBorder="1" applyAlignment="1">
      <alignment horizontal="right"/>
    </xf>
    <xf numFmtId="0" fontId="4" fillId="0" borderId="13" xfId="29" applyFont="1" applyBorder="1" applyAlignment="1">
      <alignment horizontal="left"/>
    </xf>
    <xf numFmtId="4" fontId="7" fillId="0" borderId="13" xfId="29" applyNumberFormat="1" applyFont="1" applyBorder="1" applyAlignment="1">
      <alignment horizontal="right"/>
    </xf>
    <xf numFmtId="0" fontId="35" fillId="0" borderId="0" xfId="29" applyFont="1" applyAlignment="1">
      <alignment horizontal="center" vertical="center" wrapText="1"/>
    </xf>
    <xf numFmtId="2" fontId="4" fillId="0" borderId="13" xfId="0" applyNumberFormat="1" applyFont="1" applyFill="1" applyBorder="1" applyAlignment="1">
      <alignment horizontal="center" vertical="center"/>
    </xf>
    <xf numFmtId="0" fontId="4" fillId="0" borderId="13" xfId="29" applyFont="1" applyFill="1" applyBorder="1" applyAlignment="1">
      <alignment horizontal="center" wrapText="1"/>
    </xf>
    <xf numFmtId="2" fontId="45" fillId="0" borderId="13" xfId="0" applyNumberFormat="1" applyFont="1" applyFill="1" applyBorder="1" applyAlignment="1">
      <alignment horizontal="center" vertical="center"/>
    </xf>
    <xf numFmtId="0" fontId="45" fillId="0" borderId="13" xfId="29" applyFont="1" applyFill="1" applyBorder="1" applyAlignment="1">
      <alignment horizontal="center" vertical="center" wrapText="1"/>
    </xf>
    <xf numFmtId="0" fontId="45" fillId="0" borderId="13" xfId="29" applyFont="1" applyFill="1" applyBorder="1" applyAlignment="1">
      <alignment horizontal="center" wrapText="1"/>
    </xf>
    <xf numFmtId="0" fontId="34" fillId="0" borderId="11" xfId="0" applyFont="1" applyBorder="1" applyAlignment="1">
      <alignment horizontal="right" vertical="top" wrapText="1"/>
    </xf>
    <xf numFmtId="0" fontId="34" fillId="0" borderId="21" xfId="0" applyFont="1" applyBorder="1" applyAlignment="1">
      <alignment horizontal="right" vertical="top" wrapText="1"/>
    </xf>
    <xf numFmtId="0" fontId="4" fillId="0" borderId="11" xfId="29" applyFont="1" applyBorder="1" applyAlignment="1">
      <alignment horizontal="right" vertical="center" wrapText="1"/>
    </xf>
    <xf numFmtId="0" fontId="4" fillId="0" borderId="21" xfId="29" applyFont="1" applyBorder="1" applyAlignment="1">
      <alignment horizontal="right" vertical="center" wrapText="1"/>
    </xf>
    <xf numFmtId="0" fontId="4" fillId="0" borderId="0" xfId="29" applyFont="1" applyAlignment="1">
      <alignment horizontal="left" vertical="center" wrapText="1"/>
    </xf>
    <xf numFmtId="0" fontId="4" fillId="0" borderId="14" xfId="29" applyFont="1" applyBorder="1" applyAlignment="1">
      <alignment horizontal="center" vertical="center" wrapText="1"/>
    </xf>
    <xf numFmtId="0" fontId="4" fillId="0" borderId="25" xfId="29" applyFont="1" applyBorder="1" applyAlignment="1">
      <alignment horizontal="center" vertical="center" wrapText="1"/>
    </xf>
    <xf numFmtId="0" fontId="4" fillId="0" borderId="11" xfId="29" applyFont="1" applyBorder="1" applyAlignment="1">
      <alignment horizontal="center" vertical="center" wrapText="1"/>
    </xf>
    <xf numFmtId="0" fontId="4" fillId="0" borderId="26" xfId="29" applyFont="1" applyBorder="1" applyAlignment="1">
      <alignment horizontal="center" vertical="center" wrapText="1"/>
    </xf>
    <xf numFmtId="0" fontId="4" fillId="0" borderId="20" xfId="29" applyFont="1" applyBorder="1" applyAlignment="1">
      <alignment horizontal="left" wrapText="1"/>
    </xf>
    <xf numFmtId="0" fontId="10" fillId="0" borderId="0" xfId="29" applyFont="1" applyAlignment="1">
      <alignment horizontal="center" vertical="top"/>
    </xf>
    <xf numFmtId="0" fontId="4" fillId="0" borderId="20" xfId="29" applyFont="1" applyBorder="1" applyAlignment="1">
      <alignment wrapText="1"/>
    </xf>
    <xf numFmtId="0" fontId="4" fillId="0" borderId="2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top"/>
    </xf>
    <xf numFmtId="0" fontId="0" fillId="0" borderId="20" xfId="0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49" fontId="4" fillId="0" borderId="15" xfId="0" applyNumberFormat="1" applyFont="1" applyBorder="1" applyAlignment="1">
      <alignment horizontal="center"/>
    </xf>
    <xf numFmtId="49" fontId="4" fillId="0" borderId="16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4" fillId="0" borderId="23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23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49" fontId="4" fillId="0" borderId="23" xfId="0" applyNumberFormat="1" applyFont="1" applyBorder="1" applyAlignment="1">
      <alignment horizontal="center" wrapText="1"/>
    </xf>
    <xf numFmtId="49" fontId="4" fillId="0" borderId="19" xfId="0" applyNumberFormat="1" applyFont="1" applyBorder="1" applyAlignment="1">
      <alignment horizontal="center" wrapText="1"/>
    </xf>
    <xf numFmtId="14" fontId="4" fillId="0" borderId="23" xfId="0" applyNumberFormat="1" applyFont="1" applyBorder="1" applyAlignment="1">
      <alignment horizontal="center"/>
    </xf>
    <xf numFmtId="14" fontId="4" fillId="0" borderId="19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9" fillId="0" borderId="20" xfId="0" applyFont="1" applyBorder="1" applyAlignment="1">
      <alignment horizontal="left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 wrapText="1"/>
    </xf>
    <xf numFmtId="4" fontId="4" fillId="0" borderId="25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34" fillId="0" borderId="14" xfId="0" applyFont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left" vertical="center" wrapText="1"/>
    </xf>
    <xf numFmtId="4" fontId="4" fillId="0" borderId="27" xfId="0" applyNumberFormat="1" applyFont="1" applyBorder="1" applyAlignment="1">
      <alignment horizontal="center" vertical="center" wrapText="1"/>
    </xf>
    <xf numFmtId="4" fontId="46" fillId="17" borderId="14" xfId="0" applyNumberFormat="1" applyFont="1" applyFill="1" applyBorder="1" applyAlignment="1">
      <alignment horizontal="center" vertical="center" wrapText="1"/>
    </xf>
    <xf numFmtId="4" fontId="46" fillId="17" borderId="27" xfId="0" applyNumberFormat="1" applyFont="1" applyFill="1" applyBorder="1" applyAlignment="1">
      <alignment horizontal="center" vertical="center" wrapText="1"/>
    </xf>
    <xf numFmtId="4" fontId="46" fillId="17" borderId="2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170" fontId="4" fillId="0" borderId="0" xfId="0" applyNumberFormat="1" applyFont="1"/>
  </cellXfs>
  <cellStyles count="99">
    <cellStyle name="Comma 2" xfId="82" xr:uid="{6F39A300-1AA0-45CB-B888-5FC903246B79}"/>
    <cellStyle name="Excel Built-in Normal" xfId="43" xr:uid="{CC1079B2-9CC2-4E69-AB82-65B40A59C1B0}"/>
    <cellStyle name="Normal 10 2" xfId="80" xr:uid="{411A16AA-82F1-4D22-846F-4B19E8915104}"/>
    <cellStyle name="Normal 11" xfId="81" xr:uid="{40DAB729-AB04-4F2F-A926-132381CB59B1}"/>
    <cellStyle name="Normal 142" xfId="86" xr:uid="{AC7EF35B-B36B-4042-8690-90D544D6761A}"/>
    <cellStyle name="Normal 2" xfId="85" xr:uid="{C6599123-59B4-45B8-AB2D-2278CD763D63}"/>
    <cellStyle name="Normal 3 6" xfId="83" xr:uid="{2E7BA0D3-E835-4ADB-94EE-623207334F84}"/>
    <cellStyle name="Normal_объемы" xfId="44" xr:uid="{875B8F61-B968-460C-8049-5C993ACDA471}"/>
    <cellStyle name="Percent 2 2" xfId="84" xr:uid="{EC3B87B8-E4FF-45E4-8FE9-47EF2AF69988}"/>
    <cellStyle name="Акт" xfId="26" xr:uid="{00000000-0005-0000-0000-000000000000}"/>
    <cellStyle name="АктМТСН" xfId="45" xr:uid="{03A73BC8-CEAB-4EA1-A085-4A87F2FAF040}"/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едРесурсов" xfId="46" xr:uid="{3CC8CD17-A5CF-47EF-A6E8-D52174F75C32}"/>
    <cellStyle name="ВедРесурсовАкт" xfId="47" xr:uid="{0B379AC7-BF4F-441B-84A8-EE4F3D59E93D}"/>
    <cellStyle name="Вывод" xfId="8" builtinId="21" customBuiltin="1"/>
    <cellStyle name="Вычисление" xfId="9" builtinId="22" customBuiltin="1"/>
    <cellStyle name="Денежный 2" xfId="48" xr:uid="{1AF8DF7A-E8C3-4BE5-8D6E-056D342718ED}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ндексы" xfId="49" xr:uid="{B0A53ABC-3ADA-4A33-AC8A-B836B293A91F}"/>
    <cellStyle name="Итог" xfId="14" builtinId="25" customBuiltin="1"/>
    <cellStyle name="Итоги" xfId="25" xr:uid="{00000000-0005-0000-0000-00000F000000}"/>
    <cellStyle name="Итоги 2" xfId="50" xr:uid="{0DDDB4CD-1D36-4D48-915A-A35452787400}"/>
    <cellStyle name="ИтогоАктБазЦ" xfId="51" xr:uid="{F430AECF-582D-486E-9E03-1AF8B6A35BAB}"/>
    <cellStyle name="ИтогоАктБИМ" xfId="52" xr:uid="{2641A4FB-6952-45F3-81CA-6420025666D9}"/>
    <cellStyle name="ИтогоАктРесМет" xfId="53" xr:uid="{54772D2F-2F41-4F72-96DF-730AC33EFC97}"/>
    <cellStyle name="ИтогоАктТекЦ" xfId="54" xr:uid="{4404AF3A-716D-44E2-A7E2-8932B1D8E9E1}"/>
    <cellStyle name="ИтогоБазЦ" xfId="55" xr:uid="{89FF118A-891D-4890-B63A-0564D2881F3B}"/>
    <cellStyle name="ИтогоБИМ" xfId="56" xr:uid="{DA0E7788-CC9E-4562-8722-555522D9C5F8}"/>
    <cellStyle name="ИтогоБИМ 2" xfId="57" xr:uid="{BA294E26-0DFB-4E8F-99CB-06E76EB41EF2}"/>
    <cellStyle name="ИтогоРесМет" xfId="58" xr:uid="{FE679522-5DAE-4107-BCDB-98CE6A4E7AA4}"/>
    <cellStyle name="ИтогоТекЦ" xfId="59" xr:uid="{0C42EE9F-E784-4658-B26D-C29AEBBA599F}"/>
    <cellStyle name="Контрольная ячейка" xfId="15" builtinId="23" customBuiltin="1"/>
    <cellStyle name="ЛокСмета" xfId="27" xr:uid="{00000000-0005-0000-0000-000011000000}"/>
    <cellStyle name="ЛокСмета 2" xfId="60" xr:uid="{077D2ADC-B3FB-4EE9-8989-EBB17D31A6E1}"/>
    <cellStyle name="ЛокСмМТСН" xfId="61" xr:uid="{59E834F3-1355-4238-ABBF-F9290F5E8E48}"/>
    <cellStyle name="ЛокСмМТСН 2" xfId="62" xr:uid="{390FCA2A-86B0-413C-8A5D-8C40337D84DC}"/>
    <cellStyle name="М29" xfId="63" xr:uid="{D8DD6D82-B53C-4977-93B3-EAA383E99350}"/>
    <cellStyle name="Название" xfId="16" builtinId="15" customBuiltin="1"/>
    <cellStyle name="Нейтральный" xfId="17" builtinId="28" customBuiltin="1"/>
    <cellStyle name="ОбСмета" xfId="64" xr:uid="{30ADD54A-99F2-4A7A-A187-C5B9BEBA3268}"/>
    <cellStyle name="Обычный" xfId="0" builtinId="0"/>
    <cellStyle name="Обычный 10" xfId="88" xr:uid="{735B104C-E7A0-48AD-8C85-95AB7CA890F8}"/>
    <cellStyle name="Обычный 11" xfId="89" xr:uid="{40F3759D-EDF1-41C0-A920-F8274DEBFCC8}"/>
    <cellStyle name="Обычный 12" xfId="90" xr:uid="{59EF9CBB-7951-4E77-9B91-658107FEDF44}"/>
    <cellStyle name="Обычный 13" xfId="91" xr:uid="{F19A84C7-56E3-476A-BEAF-602E0948B10D}"/>
    <cellStyle name="Обычный 14" xfId="35" xr:uid="{0F7F1CCD-776F-4D42-A731-8A79749793C0}"/>
    <cellStyle name="Обычный 15" xfId="34" xr:uid="{D29DD9C8-4441-4F06-9461-AFF067069FC5}"/>
    <cellStyle name="Обычный 16" xfId="92" xr:uid="{9DF4217D-4E04-48F9-85D7-D6C92B7CFA7B}"/>
    <cellStyle name="Обычный 2" xfId="24" xr:uid="{00000000-0005-0000-0000-000015000000}"/>
    <cellStyle name="Обычный 2 2" xfId="42" xr:uid="{37E3F92C-63C6-4C4D-B562-6A34F143C009}"/>
    <cellStyle name="Обычный 2 2 2" xfId="87" xr:uid="{00C2854F-45AC-48FE-8D1D-7BB8D5189AF2}"/>
    <cellStyle name="Обычный 2 3" xfId="41" xr:uid="{B00C6703-F478-4115-A468-F54FDB08126F}"/>
    <cellStyle name="Обычный 2 3 2" xfId="98" xr:uid="{1289EF67-1D84-49A0-B39D-E5C83142864A}"/>
    <cellStyle name="Обычный 2 4" xfId="36" xr:uid="{281F0048-3F28-4F96-8F0A-65FCDD179723}"/>
    <cellStyle name="Обычный 2 4 3 2" xfId="32" xr:uid="{26EFD484-C59C-4C36-A4B9-0EAB52D7CE09}"/>
    <cellStyle name="Обычный 2 4 3 2 2" xfId="93" xr:uid="{9611197B-DE29-4EF2-82DD-F9985DFEF340}"/>
    <cellStyle name="Обычный 2 7 5" xfId="33" xr:uid="{7A5D13AA-1639-4BCC-9842-D2812AB52DCA}"/>
    <cellStyle name="Обычный 2 7 5 2" xfId="94" xr:uid="{9DCBC793-7201-4600-9658-4D479886D15F}"/>
    <cellStyle name="Обычный 3" xfId="28" xr:uid="{00000000-0005-0000-0000-000016000000}"/>
    <cellStyle name="Обычный 3 2" xfId="65" xr:uid="{6B2871B5-FCC6-41AC-9E0C-8FD9759EC09B}"/>
    <cellStyle name="Обычный 3 2 2" xfId="97" xr:uid="{828F908B-7DD9-4EE8-908A-F17EBB067506}"/>
    <cellStyle name="Обычный 3 3" xfId="39" xr:uid="{A7723A5A-5C07-4977-997F-7DC05ACEC153}"/>
    <cellStyle name="Обычный 4" xfId="29" xr:uid="{907FE657-5EAD-482E-A68A-312BC93D5E16}"/>
    <cellStyle name="Обычный 5" xfId="30" xr:uid="{B983CC07-8556-4E4D-B308-6C7030FB3511}"/>
    <cellStyle name="Обычный 5 2" xfId="40" xr:uid="{BDF27695-C64E-448E-A5B6-585404C56DA8}"/>
    <cellStyle name="Обычный 5 2 2" xfId="31" xr:uid="{8344DB4A-2E2D-4F46-8D4E-24424A2BB782}"/>
    <cellStyle name="Обычный 5 3" xfId="66" xr:uid="{1326527D-2DED-4C6D-A967-8C09CD53B5DD}"/>
    <cellStyle name="Обычный 6" xfId="67" xr:uid="{E2C29173-166B-4E78-A818-8E0E217BEE41}"/>
    <cellStyle name="Обычный 6 2" xfId="95" xr:uid="{B1B13A11-8D6E-485E-91CD-9A6F46A772FC}"/>
    <cellStyle name="Обычный 7" xfId="68" xr:uid="{EF8B7842-1F01-4DC3-AF2E-9E46CD643B88}"/>
    <cellStyle name="Обычный 7 2" xfId="69" xr:uid="{FD79690F-628D-4208-9AC1-658C6374E193}"/>
    <cellStyle name="Обычный 8" xfId="78" xr:uid="{31051999-8B86-4504-8D34-B9ADD512CC68}"/>
    <cellStyle name="Обычный 9" xfId="79" xr:uid="{DF5CBB0C-887B-4BED-A572-5D0C038DC50B}"/>
    <cellStyle name="Параметр" xfId="70" xr:uid="{781D0F3C-3264-4317-9C3B-069DD5ED7B2A}"/>
    <cellStyle name="ПеременныеСметы" xfId="71" xr:uid="{254D4885-86B9-4855-9B2B-87F3F447E9FB}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РесСмета" xfId="72" xr:uid="{CABEBB61-23F4-4A16-97B7-24D837CE1615}"/>
    <cellStyle name="СводкаСтоимРаб" xfId="73" xr:uid="{E61F3A6A-77C7-4407-8B41-DE9668A76943}"/>
    <cellStyle name="СводРасч" xfId="74" xr:uid="{DCE6DD85-7BF3-4E40-8711-300FF3DE3385}"/>
    <cellStyle name="Связанная ячейка" xfId="21" builtinId="24" customBuiltin="1"/>
    <cellStyle name="Стиль 1" xfId="37" xr:uid="{52783958-0302-4414-B501-36B8371F0CB5}"/>
    <cellStyle name="Текст предупреждения" xfId="22" builtinId="11" customBuiltin="1"/>
    <cellStyle name="Титул" xfId="75" xr:uid="{440C0CE3-9284-4040-ACAE-DE4AED2CC444}"/>
    <cellStyle name="Финансовый 2" xfId="38" xr:uid="{96EB779A-4343-43A6-A1D1-1EBB1BA92A22}"/>
    <cellStyle name="Финансовый 4" xfId="96" xr:uid="{58D90680-EE37-4670-A1B0-8B9FB577EE98}"/>
    <cellStyle name="Хвост" xfId="76" xr:uid="{8B393408-203E-45AB-9286-29B88F042B2D}"/>
    <cellStyle name="Хороший" xfId="23" builtinId="26" customBuiltin="1"/>
    <cellStyle name="Экспертиза" xfId="77" xr:uid="{2C5E4801-27BF-4D43-9DFC-0AC2FE16182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EC30-8B17-49F7-BDB2-84F5C83369F1}">
  <dimension ref="A1:M68"/>
  <sheetViews>
    <sheetView view="pageBreakPreview" topLeftCell="A28" zoomScaleNormal="100" zoomScaleSheetLayoutView="100" workbookViewId="0">
      <selection activeCell="A48" sqref="A48:XFD49"/>
    </sheetView>
  </sheetViews>
  <sheetFormatPr defaultRowHeight="12.75" x14ac:dyDescent="0.2"/>
  <cols>
    <col min="1" max="1" width="8.5" style="16" customWidth="1"/>
    <col min="2" max="2" width="6.6640625" style="16" customWidth="1"/>
    <col min="3" max="3" width="7.6640625" style="16" customWidth="1"/>
    <col min="4" max="4" width="64.6640625" style="16" customWidth="1"/>
    <col min="5" max="5" width="12.5" style="16" customWidth="1"/>
    <col min="6" max="6" width="16" style="16" customWidth="1"/>
    <col min="7" max="7" width="17.33203125" style="16" customWidth="1"/>
    <col min="8" max="8" width="19.1640625" style="16" customWidth="1"/>
    <col min="9" max="10" width="18.1640625" style="16" customWidth="1"/>
    <col min="11" max="11" width="20.5" style="16" customWidth="1"/>
    <col min="12" max="12" width="22" style="16" customWidth="1"/>
    <col min="13" max="13" width="11.6640625" style="16" bestFit="1" customWidth="1"/>
    <col min="14" max="226" width="9.33203125" style="16"/>
    <col min="227" max="227" width="6.6640625" style="16" customWidth="1"/>
    <col min="228" max="228" width="9.6640625" style="16" customWidth="1"/>
    <col min="229" max="229" width="13.6640625" style="16" customWidth="1"/>
    <col min="230" max="230" width="11.1640625" style="16" customWidth="1"/>
    <col min="231" max="231" width="18.33203125" style="16" customWidth="1"/>
    <col min="232" max="232" width="12.5" style="16" customWidth="1"/>
    <col min="233" max="233" width="13" style="16" customWidth="1"/>
    <col min="234" max="234" width="17.33203125" style="16" customWidth="1"/>
    <col min="235" max="235" width="14.83203125" style="16" customWidth="1"/>
    <col min="236" max="236" width="16" style="16" customWidth="1"/>
    <col min="237" max="237" width="7.6640625" style="16" customWidth="1"/>
    <col min="238" max="238" width="10.1640625" style="16" customWidth="1"/>
    <col min="239" max="239" width="6.6640625" style="16" customWidth="1"/>
    <col min="240" max="240" width="10.6640625" style="16" customWidth="1"/>
    <col min="241" max="262" width="0" style="16" hidden="1" customWidth="1"/>
    <col min="263" max="263" width="15.1640625" style="16" customWidth="1"/>
    <col min="264" max="482" width="9.33203125" style="16"/>
    <col min="483" max="483" width="6.6640625" style="16" customWidth="1"/>
    <col min="484" max="484" width="9.6640625" style="16" customWidth="1"/>
    <col min="485" max="485" width="13.6640625" style="16" customWidth="1"/>
    <col min="486" max="486" width="11.1640625" style="16" customWidth="1"/>
    <col min="487" max="487" width="18.33203125" style="16" customWidth="1"/>
    <col min="488" max="488" width="12.5" style="16" customWidth="1"/>
    <col min="489" max="489" width="13" style="16" customWidth="1"/>
    <col min="490" max="490" width="17.33203125" style="16" customWidth="1"/>
    <col min="491" max="491" width="14.83203125" style="16" customWidth="1"/>
    <col min="492" max="492" width="16" style="16" customWidth="1"/>
    <col min="493" max="493" width="7.6640625" style="16" customWidth="1"/>
    <col min="494" max="494" width="10.1640625" style="16" customWidth="1"/>
    <col min="495" max="495" width="6.6640625" style="16" customWidth="1"/>
    <col min="496" max="496" width="10.6640625" style="16" customWidth="1"/>
    <col min="497" max="518" width="0" style="16" hidden="1" customWidth="1"/>
    <col min="519" max="519" width="15.1640625" style="16" customWidth="1"/>
    <col min="520" max="738" width="9.33203125" style="16"/>
    <col min="739" max="739" width="6.6640625" style="16" customWidth="1"/>
    <col min="740" max="740" width="9.6640625" style="16" customWidth="1"/>
    <col min="741" max="741" width="13.6640625" style="16" customWidth="1"/>
    <col min="742" max="742" width="11.1640625" style="16" customWidth="1"/>
    <col min="743" max="743" width="18.33203125" style="16" customWidth="1"/>
    <col min="744" max="744" width="12.5" style="16" customWidth="1"/>
    <col min="745" max="745" width="13" style="16" customWidth="1"/>
    <col min="746" max="746" width="17.33203125" style="16" customWidth="1"/>
    <col min="747" max="747" width="14.83203125" style="16" customWidth="1"/>
    <col min="748" max="748" width="16" style="16" customWidth="1"/>
    <col min="749" max="749" width="7.6640625" style="16" customWidth="1"/>
    <col min="750" max="750" width="10.1640625" style="16" customWidth="1"/>
    <col min="751" max="751" width="6.6640625" style="16" customWidth="1"/>
    <col min="752" max="752" width="10.6640625" style="16" customWidth="1"/>
    <col min="753" max="774" width="0" style="16" hidden="1" customWidth="1"/>
    <col min="775" max="775" width="15.1640625" style="16" customWidth="1"/>
    <col min="776" max="994" width="9.33203125" style="16"/>
    <col min="995" max="995" width="6.6640625" style="16" customWidth="1"/>
    <col min="996" max="996" width="9.6640625" style="16" customWidth="1"/>
    <col min="997" max="997" width="13.6640625" style="16" customWidth="1"/>
    <col min="998" max="998" width="11.1640625" style="16" customWidth="1"/>
    <col min="999" max="999" width="18.33203125" style="16" customWidth="1"/>
    <col min="1000" max="1000" width="12.5" style="16" customWidth="1"/>
    <col min="1001" max="1001" width="13" style="16" customWidth="1"/>
    <col min="1002" max="1002" width="17.33203125" style="16" customWidth="1"/>
    <col min="1003" max="1003" width="14.83203125" style="16" customWidth="1"/>
    <col min="1004" max="1004" width="16" style="16" customWidth="1"/>
    <col min="1005" max="1005" width="7.6640625" style="16" customWidth="1"/>
    <col min="1006" max="1006" width="10.1640625" style="16" customWidth="1"/>
    <col min="1007" max="1007" width="6.6640625" style="16" customWidth="1"/>
    <col min="1008" max="1008" width="10.6640625" style="16" customWidth="1"/>
    <col min="1009" max="1030" width="0" style="16" hidden="1" customWidth="1"/>
    <col min="1031" max="1031" width="15.1640625" style="16" customWidth="1"/>
    <col min="1032" max="1250" width="9.33203125" style="16"/>
    <col min="1251" max="1251" width="6.6640625" style="16" customWidth="1"/>
    <col min="1252" max="1252" width="9.6640625" style="16" customWidth="1"/>
    <col min="1253" max="1253" width="13.6640625" style="16" customWidth="1"/>
    <col min="1254" max="1254" width="11.1640625" style="16" customWidth="1"/>
    <col min="1255" max="1255" width="18.33203125" style="16" customWidth="1"/>
    <col min="1256" max="1256" width="12.5" style="16" customWidth="1"/>
    <col min="1257" max="1257" width="13" style="16" customWidth="1"/>
    <col min="1258" max="1258" width="17.33203125" style="16" customWidth="1"/>
    <col min="1259" max="1259" width="14.83203125" style="16" customWidth="1"/>
    <col min="1260" max="1260" width="16" style="16" customWidth="1"/>
    <col min="1261" max="1261" width="7.6640625" style="16" customWidth="1"/>
    <col min="1262" max="1262" width="10.1640625" style="16" customWidth="1"/>
    <col min="1263" max="1263" width="6.6640625" style="16" customWidth="1"/>
    <col min="1264" max="1264" width="10.6640625" style="16" customWidth="1"/>
    <col min="1265" max="1286" width="0" style="16" hidden="1" customWidth="1"/>
    <col min="1287" max="1287" width="15.1640625" style="16" customWidth="1"/>
    <col min="1288" max="1506" width="9.33203125" style="16"/>
    <col min="1507" max="1507" width="6.6640625" style="16" customWidth="1"/>
    <col min="1508" max="1508" width="9.6640625" style="16" customWidth="1"/>
    <col min="1509" max="1509" width="13.6640625" style="16" customWidth="1"/>
    <col min="1510" max="1510" width="11.1640625" style="16" customWidth="1"/>
    <col min="1511" max="1511" width="18.33203125" style="16" customWidth="1"/>
    <col min="1512" max="1512" width="12.5" style="16" customWidth="1"/>
    <col min="1513" max="1513" width="13" style="16" customWidth="1"/>
    <col min="1514" max="1514" width="17.33203125" style="16" customWidth="1"/>
    <col min="1515" max="1515" width="14.83203125" style="16" customWidth="1"/>
    <col min="1516" max="1516" width="16" style="16" customWidth="1"/>
    <col min="1517" max="1517" width="7.6640625" style="16" customWidth="1"/>
    <col min="1518" max="1518" width="10.1640625" style="16" customWidth="1"/>
    <col min="1519" max="1519" width="6.6640625" style="16" customWidth="1"/>
    <col min="1520" max="1520" width="10.6640625" style="16" customWidth="1"/>
    <col min="1521" max="1542" width="0" style="16" hidden="1" customWidth="1"/>
    <col min="1543" max="1543" width="15.1640625" style="16" customWidth="1"/>
    <col min="1544" max="1762" width="9.33203125" style="16"/>
    <col min="1763" max="1763" width="6.6640625" style="16" customWidth="1"/>
    <col min="1764" max="1764" width="9.6640625" style="16" customWidth="1"/>
    <col min="1765" max="1765" width="13.6640625" style="16" customWidth="1"/>
    <col min="1766" max="1766" width="11.1640625" style="16" customWidth="1"/>
    <col min="1767" max="1767" width="18.33203125" style="16" customWidth="1"/>
    <col min="1768" max="1768" width="12.5" style="16" customWidth="1"/>
    <col min="1769" max="1769" width="13" style="16" customWidth="1"/>
    <col min="1770" max="1770" width="17.33203125" style="16" customWidth="1"/>
    <col min="1771" max="1771" width="14.83203125" style="16" customWidth="1"/>
    <col min="1772" max="1772" width="16" style="16" customWidth="1"/>
    <col min="1773" max="1773" width="7.6640625" style="16" customWidth="1"/>
    <col min="1774" max="1774" width="10.1640625" style="16" customWidth="1"/>
    <col min="1775" max="1775" width="6.6640625" style="16" customWidth="1"/>
    <col min="1776" max="1776" width="10.6640625" style="16" customWidth="1"/>
    <col min="1777" max="1798" width="0" style="16" hidden="1" customWidth="1"/>
    <col min="1799" max="1799" width="15.1640625" style="16" customWidth="1"/>
    <col min="1800" max="2018" width="9.33203125" style="16"/>
    <col min="2019" max="2019" width="6.6640625" style="16" customWidth="1"/>
    <col min="2020" max="2020" width="9.6640625" style="16" customWidth="1"/>
    <col min="2021" max="2021" width="13.6640625" style="16" customWidth="1"/>
    <col min="2022" max="2022" width="11.1640625" style="16" customWidth="1"/>
    <col min="2023" max="2023" width="18.33203125" style="16" customWidth="1"/>
    <col min="2024" max="2024" width="12.5" style="16" customWidth="1"/>
    <col min="2025" max="2025" width="13" style="16" customWidth="1"/>
    <col min="2026" max="2026" width="17.33203125" style="16" customWidth="1"/>
    <col min="2027" max="2027" width="14.83203125" style="16" customWidth="1"/>
    <col min="2028" max="2028" width="16" style="16" customWidth="1"/>
    <col min="2029" max="2029" width="7.6640625" style="16" customWidth="1"/>
    <col min="2030" max="2030" width="10.1640625" style="16" customWidth="1"/>
    <col min="2031" max="2031" width="6.6640625" style="16" customWidth="1"/>
    <col min="2032" max="2032" width="10.6640625" style="16" customWidth="1"/>
    <col min="2033" max="2054" width="0" style="16" hidden="1" customWidth="1"/>
    <col min="2055" max="2055" width="15.1640625" style="16" customWidth="1"/>
    <col min="2056" max="2274" width="9.33203125" style="16"/>
    <col min="2275" max="2275" width="6.6640625" style="16" customWidth="1"/>
    <col min="2276" max="2276" width="9.6640625" style="16" customWidth="1"/>
    <col min="2277" max="2277" width="13.6640625" style="16" customWidth="1"/>
    <col min="2278" max="2278" width="11.1640625" style="16" customWidth="1"/>
    <col min="2279" max="2279" width="18.33203125" style="16" customWidth="1"/>
    <col min="2280" max="2280" width="12.5" style="16" customWidth="1"/>
    <col min="2281" max="2281" width="13" style="16" customWidth="1"/>
    <col min="2282" max="2282" width="17.33203125" style="16" customWidth="1"/>
    <col min="2283" max="2283" width="14.83203125" style="16" customWidth="1"/>
    <col min="2284" max="2284" width="16" style="16" customWidth="1"/>
    <col min="2285" max="2285" width="7.6640625" style="16" customWidth="1"/>
    <col min="2286" max="2286" width="10.1640625" style="16" customWidth="1"/>
    <col min="2287" max="2287" width="6.6640625" style="16" customWidth="1"/>
    <col min="2288" max="2288" width="10.6640625" style="16" customWidth="1"/>
    <col min="2289" max="2310" width="0" style="16" hidden="1" customWidth="1"/>
    <col min="2311" max="2311" width="15.1640625" style="16" customWidth="1"/>
    <col min="2312" max="2530" width="9.33203125" style="16"/>
    <col min="2531" max="2531" width="6.6640625" style="16" customWidth="1"/>
    <col min="2532" max="2532" width="9.6640625" style="16" customWidth="1"/>
    <col min="2533" max="2533" width="13.6640625" style="16" customWidth="1"/>
    <col min="2534" max="2534" width="11.1640625" style="16" customWidth="1"/>
    <col min="2535" max="2535" width="18.33203125" style="16" customWidth="1"/>
    <col min="2536" max="2536" width="12.5" style="16" customWidth="1"/>
    <col min="2537" max="2537" width="13" style="16" customWidth="1"/>
    <col min="2538" max="2538" width="17.33203125" style="16" customWidth="1"/>
    <col min="2539" max="2539" width="14.83203125" style="16" customWidth="1"/>
    <col min="2540" max="2540" width="16" style="16" customWidth="1"/>
    <col min="2541" max="2541" width="7.6640625" style="16" customWidth="1"/>
    <col min="2542" max="2542" width="10.1640625" style="16" customWidth="1"/>
    <col min="2543" max="2543" width="6.6640625" style="16" customWidth="1"/>
    <col min="2544" max="2544" width="10.6640625" style="16" customWidth="1"/>
    <col min="2545" max="2566" width="0" style="16" hidden="1" customWidth="1"/>
    <col min="2567" max="2567" width="15.1640625" style="16" customWidth="1"/>
    <col min="2568" max="2786" width="9.33203125" style="16"/>
    <col min="2787" max="2787" width="6.6640625" style="16" customWidth="1"/>
    <col min="2788" max="2788" width="9.6640625" style="16" customWidth="1"/>
    <col min="2789" max="2789" width="13.6640625" style="16" customWidth="1"/>
    <col min="2790" max="2790" width="11.1640625" style="16" customWidth="1"/>
    <col min="2791" max="2791" width="18.33203125" style="16" customWidth="1"/>
    <col min="2792" max="2792" width="12.5" style="16" customWidth="1"/>
    <col min="2793" max="2793" width="13" style="16" customWidth="1"/>
    <col min="2794" max="2794" width="17.33203125" style="16" customWidth="1"/>
    <col min="2795" max="2795" width="14.83203125" style="16" customWidth="1"/>
    <col min="2796" max="2796" width="16" style="16" customWidth="1"/>
    <col min="2797" max="2797" width="7.6640625" style="16" customWidth="1"/>
    <col min="2798" max="2798" width="10.1640625" style="16" customWidth="1"/>
    <col min="2799" max="2799" width="6.6640625" style="16" customWidth="1"/>
    <col min="2800" max="2800" width="10.6640625" style="16" customWidth="1"/>
    <col min="2801" max="2822" width="0" style="16" hidden="1" customWidth="1"/>
    <col min="2823" max="2823" width="15.1640625" style="16" customWidth="1"/>
    <col min="2824" max="3042" width="9.33203125" style="16"/>
    <col min="3043" max="3043" width="6.6640625" style="16" customWidth="1"/>
    <col min="3044" max="3044" width="9.6640625" style="16" customWidth="1"/>
    <col min="3045" max="3045" width="13.6640625" style="16" customWidth="1"/>
    <col min="3046" max="3046" width="11.1640625" style="16" customWidth="1"/>
    <col min="3047" max="3047" width="18.33203125" style="16" customWidth="1"/>
    <col min="3048" max="3048" width="12.5" style="16" customWidth="1"/>
    <col min="3049" max="3049" width="13" style="16" customWidth="1"/>
    <col min="3050" max="3050" width="17.33203125" style="16" customWidth="1"/>
    <col min="3051" max="3051" width="14.83203125" style="16" customWidth="1"/>
    <col min="3052" max="3052" width="16" style="16" customWidth="1"/>
    <col min="3053" max="3053" width="7.6640625" style="16" customWidth="1"/>
    <col min="3054" max="3054" width="10.1640625" style="16" customWidth="1"/>
    <col min="3055" max="3055" width="6.6640625" style="16" customWidth="1"/>
    <col min="3056" max="3056" width="10.6640625" style="16" customWidth="1"/>
    <col min="3057" max="3078" width="0" style="16" hidden="1" customWidth="1"/>
    <col min="3079" max="3079" width="15.1640625" style="16" customWidth="1"/>
    <col min="3080" max="3298" width="9.33203125" style="16"/>
    <col min="3299" max="3299" width="6.6640625" style="16" customWidth="1"/>
    <col min="3300" max="3300" width="9.6640625" style="16" customWidth="1"/>
    <col min="3301" max="3301" width="13.6640625" style="16" customWidth="1"/>
    <col min="3302" max="3302" width="11.1640625" style="16" customWidth="1"/>
    <col min="3303" max="3303" width="18.33203125" style="16" customWidth="1"/>
    <col min="3304" max="3304" width="12.5" style="16" customWidth="1"/>
    <col min="3305" max="3305" width="13" style="16" customWidth="1"/>
    <col min="3306" max="3306" width="17.33203125" style="16" customWidth="1"/>
    <col min="3307" max="3307" width="14.83203125" style="16" customWidth="1"/>
    <col min="3308" max="3308" width="16" style="16" customWidth="1"/>
    <col min="3309" max="3309" width="7.6640625" style="16" customWidth="1"/>
    <col min="3310" max="3310" width="10.1640625" style="16" customWidth="1"/>
    <col min="3311" max="3311" width="6.6640625" style="16" customWidth="1"/>
    <col min="3312" max="3312" width="10.6640625" style="16" customWidth="1"/>
    <col min="3313" max="3334" width="0" style="16" hidden="1" customWidth="1"/>
    <col min="3335" max="3335" width="15.1640625" style="16" customWidth="1"/>
    <col min="3336" max="3554" width="9.33203125" style="16"/>
    <col min="3555" max="3555" width="6.6640625" style="16" customWidth="1"/>
    <col min="3556" max="3556" width="9.6640625" style="16" customWidth="1"/>
    <col min="3557" max="3557" width="13.6640625" style="16" customWidth="1"/>
    <col min="3558" max="3558" width="11.1640625" style="16" customWidth="1"/>
    <col min="3559" max="3559" width="18.33203125" style="16" customWidth="1"/>
    <col min="3560" max="3560" width="12.5" style="16" customWidth="1"/>
    <col min="3561" max="3561" width="13" style="16" customWidth="1"/>
    <col min="3562" max="3562" width="17.33203125" style="16" customWidth="1"/>
    <col min="3563" max="3563" width="14.83203125" style="16" customWidth="1"/>
    <col min="3564" max="3564" width="16" style="16" customWidth="1"/>
    <col min="3565" max="3565" width="7.6640625" style="16" customWidth="1"/>
    <col min="3566" max="3566" width="10.1640625" style="16" customWidth="1"/>
    <col min="3567" max="3567" width="6.6640625" style="16" customWidth="1"/>
    <col min="3568" max="3568" width="10.6640625" style="16" customWidth="1"/>
    <col min="3569" max="3590" width="0" style="16" hidden="1" customWidth="1"/>
    <col min="3591" max="3591" width="15.1640625" style="16" customWidth="1"/>
    <col min="3592" max="3810" width="9.33203125" style="16"/>
    <col min="3811" max="3811" width="6.6640625" style="16" customWidth="1"/>
    <col min="3812" max="3812" width="9.6640625" style="16" customWidth="1"/>
    <col min="3813" max="3813" width="13.6640625" style="16" customWidth="1"/>
    <col min="3814" max="3814" width="11.1640625" style="16" customWidth="1"/>
    <col min="3815" max="3815" width="18.33203125" style="16" customWidth="1"/>
    <col min="3816" max="3816" width="12.5" style="16" customWidth="1"/>
    <col min="3817" max="3817" width="13" style="16" customWidth="1"/>
    <col min="3818" max="3818" width="17.33203125" style="16" customWidth="1"/>
    <col min="3819" max="3819" width="14.83203125" style="16" customWidth="1"/>
    <col min="3820" max="3820" width="16" style="16" customWidth="1"/>
    <col min="3821" max="3821" width="7.6640625" style="16" customWidth="1"/>
    <col min="3822" max="3822" width="10.1640625" style="16" customWidth="1"/>
    <col min="3823" max="3823" width="6.6640625" style="16" customWidth="1"/>
    <col min="3824" max="3824" width="10.6640625" style="16" customWidth="1"/>
    <col min="3825" max="3846" width="0" style="16" hidden="1" customWidth="1"/>
    <col min="3847" max="3847" width="15.1640625" style="16" customWidth="1"/>
    <col min="3848" max="4066" width="9.33203125" style="16"/>
    <col min="4067" max="4067" width="6.6640625" style="16" customWidth="1"/>
    <col min="4068" max="4068" width="9.6640625" style="16" customWidth="1"/>
    <col min="4069" max="4069" width="13.6640625" style="16" customWidth="1"/>
    <col min="4070" max="4070" width="11.1640625" style="16" customWidth="1"/>
    <col min="4071" max="4071" width="18.33203125" style="16" customWidth="1"/>
    <col min="4072" max="4072" width="12.5" style="16" customWidth="1"/>
    <col min="4073" max="4073" width="13" style="16" customWidth="1"/>
    <col min="4074" max="4074" width="17.33203125" style="16" customWidth="1"/>
    <col min="4075" max="4075" width="14.83203125" style="16" customWidth="1"/>
    <col min="4076" max="4076" width="16" style="16" customWidth="1"/>
    <col min="4077" max="4077" width="7.6640625" style="16" customWidth="1"/>
    <col min="4078" max="4078" width="10.1640625" style="16" customWidth="1"/>
    <col min="4079" max="4079" width="6.6640625" style="16" customWidth="1"/>
    <col min="4080" max="4080" width="10.6640625" style="16" customWidth="1"/>
    <col min="4081" max="4102" width="0" style="16" hidden="1" customWidth="1"/>
    <col min="4103" max="4103" width="15.1640625" style="16" customWidth="1"/>
    <col min="4104" max="4322" width="9.33203125" style="16"/>
    <col min="4323" max="4323" width="6.6640625" style="16" customWidth="1"/>
    <col min="4324" max="4324" width="9.6640625" style="16" customWidth="1"/>
    <col min="4325" max="4325" width="13.6640625" style="16" customWidth="1"/>
    <col min="4326" max="4326" width="11.1640625" style="16" customWidth="1"/>
    <col min="4327" max="4327" width="18.33203125" style="16" customWidth="1"/>
    <col min="4328" max="4328" width="12.5" style="16" customWidth="1"/>
    <col min="4329" max="4329" width="13" style="16" customWidth="1"/>
    <col min="4330" max="4330" width="17.33203125" style="16" customWidth="1"/>
    <col min="4331" max="4331" width="14.83203125" style="16" customWidth="1"/>
    <col min="4332" max="4332" width="16" style="16" customWidth="1"/>
    <col min="4333" max="4333" width="7.6640625" style="16" customWidth="1"/>
    <col min="4334" max="4334" width="10.1640625" style="16" customWidth="1"/>
    <col min="4335" max="4335" width="6.6640625" style="16" customWidth="1"/>
    <col min="4336" max="4336" width="10.6640625" style="16" customWidth="1"/>
    <col min="4337" max="4358" width="0" style="16" hidden="1" customWidth="1"/>
    <col min="4359" max="4359" width="15.1640625" style="16" customWidth="1"/>
    <col min="4360" max="4578" width="9.33203125" style="16"/>
    <col min="4579" max="4579" width="6.6640625" style="16" customWidth="1"/>
    <col min="4580" max="4580" width="9.6640625" style="16" customWidth="1"/>
    <col min="4581" max="4581" width="13.6640625" style="16" customWidth="1"/>
    <col min="4582" max="4582" width="11.1640625" style="16" customWidth="1"/>
    <col min="4583" max="4583" width="18.33203125" style="16" customWidth="1"/>
    <col min="4584" max="4584" width="12.5" style="16" customWidth="1"/>
    <col min="4585" max="4585" width="13" style="16" customWidth="1"/>
    <col min="4586" max="4586" width="17.33203125" style="16" customWidth="1"/>
    <col min="4587" max="4587" width="14.83203125" style="16" customWidth="1"/>
    <col min="4588" max="4588" width="16" style="16" customWidth="1"/>
    <col min="4589" max="4589" width="7.6640625" style="16" customWidth="1"/>
    <col min="4590" max="4590" width="10.1640625" style="16" customWidth="1"/>
    <col min="4591" max="4591" width="6.6640625" style="16" customWidth="1"/>
    <col min="4592" max="4592" width="10.6640625" style="16" customWidth="1"/>
    <col min="4593" max="4614" width="0" style="16" hidden="1" customWidth="1"/>
    <col min="4615" max="4615" width="15.1640625" style="16" customWidth="1"/>
    <col min="4616" max="4834" width="9.33203125" style="16"/>
    <col min="4835" max="4835" width="6.6640625" style="16" customWidth="1"/>
    <col min="4836" max="4836" width="9.6640625" style="16" customWidth="1"/>
    <col min="4837" max="4837" width="13.6640625" style="16" customWidth="1"/>
    <col min="4838" max="4838" width="11.1640625" style="16" customWidth="1"/>
    <col min="4839" max="4839" width="18.33203125" style="16" customWidth="1"/>
    <col min="4840" max="4840" width="12.5" style="16" customWidth="1"/>
    <col min="4841" max="4841" width="13" style="16" customWidth="1"/>
    <col min="4842" max="4842" width="17.33203125" style="16" customWidth="1"/>
    <col min="4843" max="4843" width="14.83203125" style="16" customWidth="1"/>
    <col min="4844" max="4844" width="16" style="16" customWidth="1"/>
    <col min="4845" max="4845" width="7.6640625" style="16" customWidth="1"/>
    <col min="4846" max="4846" width="10.1640625" style="16" customWidth="1"/>
    <col min="4847" max="4847" width="6.6640625" style="16" customWidth="1"/>
    <col min="4848" max="4848" width="10.6640625" style="16" customWidth="1"/>
    <col min="4849" max="4870" width="0" style="16" hidden="1" customWidth="1"/>
    <col min="4871" max="4871" width="15.1640625" style="16" customWidth="1"/>
    <col min="4872" max="5090" width="9.33203125" style="16"/>
    <col min="5091" max="5091" width="6.6640625" style="16" customWidth="1"/>
    <col min="5092" max="5092" width="9.6640625" style="16" customWidth="1"/>
    <col min="5093" max="5093" width="13.6640625" style="16" customWidth="1"/>
    <col min="5094" max="5094" width="11.1640625" style="16" customWidth="1"/>
    <col min="5095" max="5095" width="18.33203125" style="16" customWidth="1"/>
    <col min="5096" max="5096" width="12.5" style="16" customWidth="1"/>
    <col min="5097" max="5097" width="13" style="16" customWidth="1"/>
    <col min="5098" max="5098" width="17.33203125" style="16" customWidth="1"/>
    <col min="5099" max="5099" width="14.83203125" style="16" customWidth="1"/>
    <col min="5100" max="5100" width="16" style="16" customWidth="1"/>
    <col min="5101" max="5101" width="7.6640625" style="16" customWidth="1"/>
    <col min="5102" max="5102" width="10.1640625" style="16" customWidth="1"/>
    <col min="5103" max="5103" width="6.6640625" style="16" customWidth="1"/>
    <col min="5104" max="5104" width="10.6640625" style="16" customWidth="1"/>
    <col min="5105" max="5126" width="0" style="16" hidden="1" customWidth="1"/>
    <col min="5127" max="5127" width="15.1640625" style="16" customWidth="1"/>
    <col min="5128" max="5346" width="9.33203125" style="16"/>
    <col min="5347" max="5347" width="6.6640625" style="16" customWidth="1"/>
    <col min="5348" max="5348" width="9.6640625" style="16" customWidth="1"/>
    <col min="5349" max="5349" width="13.6640625" style="16" customWidth="1"/>
    <col min="5350" max="5350" width="11.1640625" style="16" customWidth="1"/>
    <col min="5351" max="5351" width="18.33203125" style="16" customWidth="1"/>
    <col min="5352" max="5352" width="12.5" style="16" customWidth="1"/>
    <col min="5353" max="5353" width="13" style="16" customWidth="1"/>
    <col min="5354" max="5354" width="17.33203125" style="16" customWidth="1"/>
    <col min="5355" max="5355" width="14.83203125" style="16" customWidth="1"/>
    <col min="5356" max="5356" width="16" style="16" customWidth="1"/>
    <col min="5357" max="5357" width="7.6640625" style="16" customWidth="1"/>
    <col min="5358" max="5358" width="10.1640625" style="16" customWidth="1"/>
    <col min="5359" max="5359" width="6.6640625" style="16" customWidth="1"/>
    <col min="5360" max="5360" width="10.6640625" style="16" customWidth="1"/>
    <col min="5361" max="5382" width="0" style="16" hidden="1" customWidth="1"/>
    <col min="5383" max="5383" width="15.1640625" style="16" customWidth="1"/>
    <col min="5384" max="5602" width="9.33203125" style="16"/>
    <col min="5603" max="5603" width="6.6640625" style="16" customWidth="1"/>
    <col min="5604" max="5604" width="9.6640625" style="16" customWidth="1"/>
    <col min="5605" max="5605" width="13.6640625" style="16" customWidth="1"/>
    <col min="5606" max="5606" width="11.1640625" style="16" customWidth="1"/>
    <col min="5607" max="5607" width="18.33203125" style="16" customWidth="1"/>
    <col min="5608" max="5608" width="12.5" style="16" customWidth="1"/>
    <col min="5609" max="5609" width="13" style="16" customWidth="1"/>
    <col min="5610" max="5610" width="17.33203125" style="16" customWidth="1"/>
    <col min="5611" max="5611" width="14.83203125" style="16" customWidth="1"/>
    <col min="5612" max="5612" width="16" style="16" customWidth="1"/>
    <col min="5613" max="5613" width="7.6640625" style="16" customWidth="1"/>
    <col min="5614" max="5614" width="10.1640625" style="16" customWidth="1"/>
    <col min="5615" max="5615" width="6.6640625" style="16" customWidth="1"/>
    <col min="5616" max="5616" width="10.6640625" style="16" customWidth="1"/>
    <col min="5617" max="5638" width="0" style="16" hidden="1" customWidth="1"/>
    <col min="5639" max="5639" width="15.1640625" style="16" customWidth="1"/>
    <col min="5640" max="5858" width="9.33203125" style="16"/>
    <col min="5859" max="5859" width="6.6640625" style="16" customWidth="1"/>
    <col min="5860" max="5860" width="9.6640625" style="16" customWidth="1"/>
    <col min="5861" max="5861" width="13.6640625" style="16" customWidth="1"/>
    <col min="5862" max="5862" width="11.1640625" style="16" customWidth="1"/>
    <col min="5863" max="5863" width="18.33203125" style="16" customWidth="1"/>
    <col min="5864" max="5864" width="12.5" style="16" customWidth="1"/>
    <col min="5865" max="5865" width="13" style="16" customWidth="1"/>
    <col min="5866" max="5866" width="17.33203125" style="16" customWidth="1"/>
    <col min="5867" max="5867" width="14.83203125" style="16" customWidth="1"/>
    <col min="5868" max="5868" width="16" style="16" customWidth="1"/>
    <col min="5869" max="5869" width="7.6640625" style="16" customWidth="1"/>
    <col min="5870" max="5870" width="10.1640625" style="16" customWidth="1"/>
    <col min="5871" max="5871" width="6.6640625" style="16" customWidth="1"/>
    <col min="5872" max="5872" width="10.6640625" style="16" customWidth="1"/>
    <col min="5873" max="5894" width="0" style="16" hidden="1" customWidth="1"/>
    <col min="5895" max="5895" width="15.1640625" style="16" customWidth="1"/>
    <col min="5896" max="6114" width="9.33203125" style="16"/>
    <col min="6115" max="6115" width="6.6640625" style="16" customWidth="1"/>
    <col min="6116" max="6116" width="9.6640625" style="16" customWidth="1"/>
    <col min="6117" max="6117" width="13.6640625" style="16" customWidth="1"/>
    <col min="6118" max="6118" width="11.1640625" style="16" customWidth="1"/>
    <col min="6119" max="6119" width="18.33203125" style="16" customWidth="1"/>
    <col min="6120" max="6120" width="12.5" style="16" customWidth="1"/>
    <col min="6121" max="6121" width="13" style="16" customWidth="1"/>
    <col min="6122" max="6122" width="17.33203125" style="16" customWidth="1"/>
    <col min="6123" max="6123" width="14.83203125" style="16" customWidth="1"/>
    <col min="6124" max="6124" width="16" style="16" customWidth="1"/>
    <col min="6125" max="6125" width="7.6640625" style="16" customWidth="1"/>
    <col min="6126" max="6126" width="10.1640625" style="16" customWidth="1"/>
    <col min="6127" max="6127" width="6.6640625" style="16" customWidth="1"/>
    <col min="6128" max="6128" width="10.6640625" style="16" customWidth="1"/>
    <col min="6129" max="6150" width="0" style="16" hidden="1" customWidth="1"/>
    <col min="6151" max="6151" width="15.1640625" style="16" customWidth="1"/>
    <col min="6152" max="6370" width="9.33203125" style="16"/>
    <col min="6371" max="6371" width="6.6640625" style="16" customWidth="1"/>
    <col min="6372" max="6372" width="9.6640625" style="16" customWidth="1"/>
    <col min="6373" max="6373" width="13.6640625" style="16" customWidth="1"/>
    <col min="6374" max="6374" width="11.1640625" style="16" customWidth="1"/>
    <col min="6375" max="6375" width="18.33203125" style="16" customWidth="1"/>
    <col min="6376" max="6376" width="12.5" style="16" customWidth="1"/>
    <col min="6377" max="6377" width="13" style="16" customWidth="1"/>
    <col min="6378" max="6378" width="17.33203125" style="16" customWidth="1"/>
    <col min="6379" max="6379" width="14.83203125" style="16" customWidth="1"/>
    <col min="6380" max="6380" width="16" style="16" customWidth="1"/>
    <col min="6381" max="6381" width="7.6640625" style="16" customWidth="1"/>
    <col min="6382" max="6382" width="10.1640625" style="16" customWidth="1"/>
    <col min="6383" max="6383" width="6.6640625" style="16" customWidth="1"/>
    <col min="6384" max="6384" width="10.6640625" style="16" customWidth="1"/>
    <col min="6385" max="6406" width="0" style="16" hidden="1" customWidth="1"/>
    <col min="6407" max="6407" width="15.1640625" style="16" customWidth="1"/>
    <col min="6408" max="6626" width="9.33203125" style="16"/>
    <col min="6627" max="6627" width="6.6640625" style="16" customWidth="1"/>
    <col min="6628" max="6628" width="9.6640625" style="16" customWidth="1"/>
    <col min="6629" max="6629" width="13.6640625" style="16" customWidth="1"/>
    <col min="6630" max="6630" width="11.1640625" style="16" customWidth="1"/>
    <col min="6631" max="6631" width="18.33203125" style="16" customWidth="1"/>
    <col min="6632" max="6632" width="12.5" style="16" customWidth="1"/>
    <col min="6633" max="6633" width="13" style="16" customWidth="1"/>
    <col min="6634" max="6634" width="17.33203125" style="16" customWidth="1"/>
    <col min="6635" max="6635" width="14.83203125" style="16" customWidth="1"/>
    <col min="6636" max="6636" width="16" style="16" customWidth="1"/>
    <col min="6637" max="6637" width="7.6640625" style="16" customWidth="1"/>
    <col min="6638" max="6638" width="10.1640625" style="16" customWidth="1"/>
    <col min="6639" max="6639" width="6.6640625" style="16" customWidth="1"/>
    <col min="6640" max="6640" width="10.6640625" style="16" customWidth="1"/>
    <col min="6641" max="6662" width="0" style="16" hidden="1" customWidth="1"/>
    <col min="6663" max="6663" width="15.1640625" style="16" customWidth="1"/>
    <col min="6664" max="6882" width="9.33203125" style="16"/>
    <col min="6883" max="6883" width="6.6640625" style="16" customWidth="1"/>
    <col min="6884" max="6884" width="9.6640625" style="16" customWidth="1"/>
    <col min="6885" max="6885" width="13.6640625" style="16" customWidth="1"/>
    <col min="6886" max="6886" width="11.1640625" style="16" customWidth="1"/>
    <col min="6887" max="6887" width="18.33203125" style="16" customWidth="1"/>
    <col min="6888" max="6888" width="12.5" style="16" customWidth="1"/>
    <col min="6889" max="6889" width="13" style="16" customWidth="1"/>
    <col min="6890" max="6890" width="17.33203125" style="16" customWidth="1"/>
    <col min="6891" max="6891" width="14.83203125" style="16" customWidth="1"/>
    <col min="6892" max="6892" width="16" style="16" customWidth="1"/>
    <col min="6893" max="6893" width="7.6640625" style="16" customWidth="1"/>
    <col min="6894" max="6894" width="10.1640625" style="16" customWidth="1"/>
    <col min="6895" max="6895" width="6.6640625" style="16" customWidth="1"/>
    <col min="6896" max="6896" width="10.6640625" style="16" customWidth="1"/>
    <col min="6897" max="6918" width="0" style="16" hidden="1" customWidth="1"/>
    <col min="6919" max="6919" width="15.1640625" style="16" customWidth="1"/>
    <col min="6920" max="7138" width="9.33203125" style="16"/>
    <col min="7139" max="7139" width="6.6640625" style="16" customWidth="1"/>
    <col min="7140" max="7140" width="9.6640625" style="16" customWidth="1"/>
    <col min="7141" max="7141" width="13.6640625" style="16" customWidth="1"/>
    <col min="7142" max="7142" width="11.1640625" style="16" customWidth="1"/>
    <col min="7143" max="7143" width="18.33203125" style="16" customWidth="1"/>
    <col min="7144" max="7144" width="12.5" style="16" customWidth="1"/>
    <col min="7145" max="7145" width="13" style="16" customWidth="1"/>
    <col min="7146" max="7146" width="17.33203125" style="16" customWidth="1"/>
    <col min="7147" max="7147" width="14.83203125" style="16" customWidth="1"/>
    <col min="7148" max="7148" width="16" style="16" customWidth="1"/>
    <col min="7149" max="7149" width="7.6640625" style="16" customWidth="1"/>
    <col min="7150" max="7150" width="10.1640625" style="16" customWidth="1"/>
    <col min="7151" max="7151" width="6.6640625" style="16" customWidth="1"/>
    <col min="7152" max="7152" width="10.6640625" style="16" customWidth="1"/>
    <col min="7153" max="7174" width="0" style="16" hidden="1" customWidth="1"/>
    <col min="7175" max="7175" width="15.1640625" style="16" customWidth="1"/>
    <col min="7176" max="7394" width="9.33203125" style="16"/>
    <col min="7395" max="7395" width="6.6640625" style="16" customWidth="1"/>
    <col min="7396" max="7396" width="9.6640625" style="16" customWidth="1"/>
    <col min="7397" max="7397" width="13.6640625" style="16" customWidth="1"/>
    <col min="7398" max="7398" width="11.1640625" style="16" customWidth="1"/>
    <col min="7399" max="7399" width="18.33203125" style="16" customWidth="1"/>
    <col min="7400" max="7400" width="12.5" style="16" customWidth="1"/>
    <col min="7401" max="7401" width="13" style="16" customWidth="1"/>
    <col min="7402" max="7402" width="17.33203125" style="16" customWidth="1"/>
    <col min="7403" max="7403" width="14.83203125" style="16" customWidth="1"/>
    <col min="7404" max="7404" width="16" style="16" customWidth="1"/>
    <col min="7405" max="7405" width="7.6640625" style="16" customWidth="1"/>
    <col min="7406" max="7406" width="10.1640625" style="16" customWidth="1"/>
    <col min="7407" max="7407" width="6.6640625" style="16" customWidth="1"/>
    <col min="7408" max="7408" width="10.6640625" style="16" customWidth="1"/>
    <col min="7409" max="7430" width="0" style="16" hidden="1" customWidth="1"/>
    <col min="7431" max="7431" width="15.1640625" style="16" customWidth="1"/>
    <col min="7432" max="7650" width="9.33203125" style="16"/>
    <col min="7651" max="7651" width="6.6640625" style="16" customWidth="1"/>
    <col min="7652" max="7652" width="9.6640625" style="16" customWidth="1"/>
    <col min="7653" max="7653" width="13.6640625" style="16" customWidth="1"/>
    <col min="7654" max="7654" width="11.1640625" style="16" customWidth="1"/>
    <col min="7655" max="7655" width="18.33203125" style="16" customWidth="1"/>
    <col min="7656" max="7656" width="12.5" style="16" customWidth="1"/>
    <col min="7657" max="7657" width="13" style="16" customWidth="1"/>
    <col min="7658" max="7658" width="17.33203125" style="16" customWidth="1"/>
    <col min="7659" max="7659" width="14.83203125" style="16" customWidth="1"/>
    <col min="7660" max="7660" width="16" style="16" customWidth="1"/>
    <col min="7661" max="7661" width="7.6640625" style="16" customWidth="1"/>
    <col min="7662" max="7662" width="10.1640625" style="16" customWidth="1"/>
    <col min="7663" max="7663" width="6.6640625" style="16" customWidth="1"/>
    <col min="7664" max="7664" width="10.6640625" style="16" customWidth="1"/>
    <col min="7665" max="7686" width="0" style="16" hidden="1" customWidth="1"/>
    <col min="7687" max="7687" width="15.1640625" style="16" customWidth="1"/>
    <col min="7688" max="7906" width="9.33203125" style="16"/>
    <col min="7907" max="7907" width="6.6640625" style="16" customWidth="1"/>
    <col min="7908" max="7908" width="9.6640625" style="16" customWidth="1"/>
    <col min="7909" max="7909" width="13.6640625" style="16" customWidth="1"/>
    <col min="7910" max="7910" width="11.1640625" style="16" customWidth="1"/>
    <col min="7911" max="7911" width="18.33203125" style="16" customWidth="1"/>
    <col min="7912" max="7912" width="12.5" style="16" customWidth="1"/>
    <col min="7913" max="7913" width="13" style="16" customWidth="1"/>
    <col min="7914" max="7914" width="17.33203125" style="16" customWidth="1"/>
    <col min="7915" max="7915" width="14.83203125" style="16" customWidth="1"/>
    <col min="7916" max="7916" width="16" style="16" customWidth="1"/>
    <col min="7917" max="7917" width="7.6640625" style="16" customWidth="1"/>
    <col min="7918" max="7918" width="10.1640625" style="16" customWidth="1"/>
    <col min="7919" max="7919" width="6.6640625" style="16" customWidth="1"/>
    <col min="7920" max="7920" width="10.6640625" style="16" customWidth="1"/>
    <col min="7921" max="7942" width="0" style="16" hidden="1" customWidth="1"/>
    <col min="7943" max="7943" width="15.1640625" style="16" customWidth="1"/>
    <col min="7944" max="8162" width="9.33203125" style="16"/>
    <col min="8163" max="8163" width="6.6640625" style="16" customWidth="1"/>
    <col min="8164" max="8164" width="9.6640625" style="16" customWidth="1"/>
    <col min="8165" max="8165" width="13.6640625" style="16" customWidth="1"/>
    <col min="8166" max="8166" width="11.1640625" style="16" customWidth="1"/>
    <col min="8167" max="8167" width="18.33203125" style="16" customWidth="1"/>
    <col min="8168" max="8168" width="12.5" style="16" customWidth="1"/>
    <col min="8169" max="8169" width="13" style="16" customWidth="1"/>
    <col min="8170" max="8170" width="17.33203125" style="16" customWidth="1"/>
    <col min="8171" max="8171" width="14.83203125" style="16" customWidth="1"/>
    <col min="8172" max="8172" width="16" style="16" customWidth="1"/>
    <col min="8173" max="8173" width="7.6640625" style="16" customWidth="1"/>
    <col min="8174" max="8174" width="10.1640625" style="16" customWidth="1"/>
    <col min="8175" max="8175" width="6.6640625" style="16" customWidth="1"/>
    <col min="8176" max="8176" width="10.6640625" style="16" customWidth="1"/>
    <col min="8177" max="8198" width="0" style="16" hidden="1" customWidth="1"/>
    <col min="8199" max="8199" width="15.1640625" style="16" customWidth="1"/>
    <col min="8200" max="8418" width="9.33203125" style="16"/>
    <col min="8419" max="8419" width="6.6640625" style="16" customWidth="1"/>
    <col min="8420" max="8420" width="9.6640625" style="16" customWidth="1"/>
    <col min="8421" max="8421" width="13.6640625" style="16" customWidth="1"/>
    <col min="8422" max="8422" width="11.1640625" style="16" customWidth="1"/>
    <col min="8423" max="8423" width="18.33203125" style="16" customWidth="1"/>
    <col min="8424" max="8424" width="12.5" style="16" customWidth="1"/>
    <col min="8425" max="8425" width="13" style="16" customWidth="1"/>
    <col min="8426" max="8426" width="17.33203125" style="16" customWidth="1"/>
    <col min="8427" max="8427" width="14.83203125" style="16" customWidth="1"/>
    <col min="8428" max="8428" width="16" style="16" customWidth="1"/>
    <col min="8429" max="8429" width="7.6640625" style="16" customWidth="1"/>
    <col min="8430" max="8430" width="10.1640625" style="16" customWidth="1"/>
    <col min="8431" max="8431" width="6.6640625" style="16" customWidth="1"/>
    <col min="8432" max="8432" width="10.6640625" style="16" customWidth="1"/>
    <col min="8433" max="8454" width="0" style="16" hidden="1" customWidth="1"/>
    <col min="8455" max="8455" width="15.1640625" style="16" customWidth="1"/>
    <col min="8456" max="8674" width="9.33203125" style="16"/>
    <col min="8675" max="8675" width="6.6640625" style="16" customWidth="1"/>
    <col min="8676" max="8676" width="9.6640625" style="16" customWidth="1"/>
    <col min="8677" max="8677" width="13.6640625" style="16" customWidth="1"/>
    <col min="8678" max="8678" width="11.1640625" style="16" customWidth="1"/>
    <col min="8679" max="8679" width="18.33203125" style="16" customWidth="1"/>
    <col min="8680" max="8680" width="12.5" style="16" customWidth="1"/>
    <col min="8681" max="8681" width="13" style="16" customWidth="1"/>
    <col min="8682" max="8682" width="17.33203125" style="16" customWidth="1"/>
    <col min="8683" max="8683" width="14.83203125" style="16" customWidth="1"/>
    <col min="8684" max="8684" width="16" style="16" customWidth="1"/>
    <col min="8685" max="8685" width="7.6640625" style="16" customWidth="1"/>
    <col min="8686" max="8686" width="10.1640625" style="16" customWidth="1"/>
    <col min="8687" max="8687" width="6.6640625" style="16" customWidth="1"/>
    <col min="8688" max="8688" width="10.6640625" style="16" customWidth="1"/>
    <col min="8689" max="8710" width="0" style="16" hidden="1" customWidth="1"/>
    <col min="8711" max="8711" width="15.1640625" style="16" customWidth="1"/>
    <col min="8712" max="8930" width="9.33203125" style="16"/>
    <col min="8931" max="8931" width="6.6640625" style="16" customWidth="1"/>
    <col min="8932" max="8932" width="9.6640625" style="16" customWidth="1"/>
    <col min="8933" max="8933" width="13.6640625" style="16" customWidth="1"/>
    <col min="8934" max="8934" width="11.1640625" style="16" customWidth="1"/>
    <col min="8935" max="8935" width="18.33203125" style="16" customWidth="1"/>
    <col min="8936" max="8936" width="12.5" style="16" customWidth="1"/>
    <col min="8937" max="8937" width="13" style="16" customWidth="1"/>
    <col min="8938" max="8938" width="17.33203125" style="16" customWidth="1"/>
    <col min="8939" max="8939" width="14.83203125" style="16" customWidth="1"/>
    <col min="8940" max="8940" width="16" style="16" customWidth="1"/>
    <col min="8941" max="8941" width="7.6640625" style="16" customWidth="1"/>
    <col min="8942" max="8942" width="10.1640625" style="16" customWidth="1"/>
    <col min="8943" max="8943" width="6.6640625" style="16" customWidth="1"/>
    <col min="8944" max="8944" width="10.6640625" style="16" customWidth="1"/>
    <col min="8945" max="8966" width="0" style="16" hidden="1" customWidth="1"/>
    <col min="8967" max="8967" width="15.1640625" style="16" customWidth="1"/>
    <col min="8968" max="9186" width="9.33203125" style="16"/>
    <col min="9187" max="9187" width="6.6640625" style="16" customWidth="1"/>
    <col min="9188" max="9188" width="9.6640625" style="16" customWidth="1"/>
    <col min="9189" max="9189" width="13.6640625" style="16" customWidth="1"/>
    <col min="9190" max="9190" width="11.1640625" style="16" customWidth="1"/>
    <col min="9191" max="9191" width="18.33203125" style="16" customWidth="1"/>
    <col min="9192" max="9192" width="12.5" style="16" customWidth="1"/>
    <col min="9193" max="9193" width="13" style="16" customWidth="1"/>
    <col min="9194" max="9194" width="17.33203125" style="16" customWidth="1"/>
    <col min="9195" max="9195" width="14.83203125" style="16" customWidth="1"/>
    <col min="9196" max="9196" width="16" style="16" customWidth="1"/>
    <col min="9197" max="9197" width="7.6640625" style="16" customWidth="1"/>
    <col min="9198" max="9198" width="10.1640625" style="16" customWidth="1"/>
    <col min="9199" max="9199" width="6.6640625" style="16" customWidth="1"/>
    <col min="9200" max="9200" width="10.6640625" style="16" customWidth="1"/>
    <col min="9201" max="9222" width="0" style="16" hidden="1" customWidth="1"/>
    <col min="9223" max="9223" width="15.1640625" style="16" customWidth="1"/>
    <col min="9224" max="9442" width="9.33203125" style="16"/>
    <col min="9443" max="9443" width="6.6640625" style="16" customWidth="1"/>
    <col min="9444" max="9444" width="9.6640625" style="16" customWidth="1"/>
    <col min="9445" max="9445" width="13.6640625" style="16" customWidth="1"/>
    <col min="9446" max="9446" width="11.1640625" style="16" customWidth="1"/>
    <col min="9447" max="9447" width="18.33203125" style="16" customWidth="1"/>
    <col min="9448" max="9448" width="12.5" style="16" customWidth="1"/>
    <col min="9449" max="9449" width="13" style="16" customWidth="1"/>
    <col min="9450" max="9450" width="17.33203125" style="16" customWidth="1"/>
    <col min="9451" max="9451" width="14.83203125" style="16" customWidth="1"/>
    <col min="9452" max="9452" width="16" style="16" customWidth="1"/>
    <col min="9453" max="9453" width="7.6640625" style="16" customWidth="1"/>
    <col min="9454" max="9454" width="10.1640625" style="16" customWidth="1"/>
    <col min="9455" max="9455" width="6.6640625" style="16" customWidth="1"/>
    <col min="9456" max="9456" width="10.6640625" style="16" customWidth="1"/>
    <col min="9457" max="9478" width="0" style="16" hidden="1" customWidth="1"/>
    <col min="9479" max="9479" width="15.1640625" style="16" customWidth="1"/>
    <col min="9480" max="9698" width="9.33203125" style="16"/>
    <col min="9699" max="9699" width="6.6640625" style="16" customWidth="1"/>
    <col min="9700" max="9700" width="9.6640625" style="16" customWidth="1"/>
    <col min="9701" max="9701" width="13.6640625" style="16" customWidth="1"/>
    <col min="9702" max="9702" width="11.1640625" style="16" customWidth="1"/>
    <col min="9703" max="9703" width="18.33203125" style="16" customWidth="1"/>
    <col min="9704" max="9704" width="12.5" style="16" customWidth="1"/>
    <col min="9705" max="9705" width="13" style="16" customWidth="1"/>
    <col min="9706" max="9706" width="17.33203125" style="16" customWidth="1"/>
    <col min="9707" max="9707" width="14.83203125" style="16" customWidth="1"/>
    <col min="9708" max="9708" width="16" style="16" customWidth="1"/>
    <col min="9709" max="9709" width="7.6640625" style="16" customWidth="1"/>
    <col min="9710" max="9710" width="10.1640625" style="16" customWidth="1"/>
    <col min="9711" max="9711" width="6.6640625" style="16" customWidth="1"/>
    <col min="9712" max="9712" width="10.6640625" style="16" customWidth="1"/>
    <col min="9713" max="9734" width="0" style="16" hidden="1" customWidth="1"/>
    <col min="9735" max="9735" width="15.1640625" style="16" customWidth="1"/>
    <col min="9736" max="9954" width="9.33203125" style="16"/>
    <col min="9955" max="9955" width="6.6640625" style="16" customWidth="1"/>
    <col min="9956" max="9956" width="9.6640625" style="16" customWidth="1"/>
    <col min="9957" max="9957" width="13.6640625" style="16" customWidth="1"/>
    <col min="9958" max="9958" width="11.1640625" style="16" customWidth="1"/>
    <col min="9959" max="9959" width="18.33203125" style="16" customWidth="1"/>
    <col min="9960" max="9960" width="12.5" style="16" customWidth="1"/>
    <col min="9961" max="9961" width="13" style="16" customWidth="1"/>
    <col min="9962" max="9962" width="17.33203125" style="16" customWidth="1"/>
    <col min="9963" max="9963" width="14.83203125" style="16" customWidth="1"/>
    <col min="9964" max="9964" width="16" style="16" customWidth="1"/>
    <col min="9965" max="9965" width="7.6640625" style="16" customWidth="1"/>
    <col min="9966" max="9966" width="10.1640625" style="16" customWidth="1"/>
    <col min="9967" max="9967" width="6.6640625" style="16" customWidth="1"/>
    <col min="9968" max="9968" width="10.6640625" style="16" customWidth="1"/>
    <col min="9969" max="9990" width="0" style="16" hidden="1" customWidth="1"/>
    <col min="9991" max="9991" width="15.1640625" style="16" customWidth="1"/>
    <col min="9992" max="10210" width="9.33203125" style="16"/>
    <col min="10211" max="10211" width="6.6640625" style="16" customWidth="1"/>
    <col min="10212" max="10212" width="9.6640625" style="16" customWidth="1"/>
    <col min="10213" max="10213" width="13.6640625" style="16" customWidth="1"/>
    <col min="10214" max="10214" width="11.1640625" style="16" customWidth="1"/>
    <col min="10215" max="10215" width="18.33203125" style="16" customWidth="1"/>
    <col min="10216" max="10216" width="12.5" style="16" customWidth="1"/>
    <col min="10217" max="10217" width="13" style="16" customWidth="1"/>
    <col min="10218" max="10218" width="17.33203125" style="16" customWidth="1"/>
    <col min="10219" max="10219" width="14.83203125" style="16" customWidth="1"/>
    <col min="10220" max="10220" width="16" style="16" customWidth="1"/>
    <col min="10221" max="10221" width="7.6640625" style="16" customWidth="1"/>
    <col min="10222" max="10222" width="10.1640625" style="16" customWidth="1"/>
    <col min="10223" max="10223" width="6.6640625" style="16" customWidth="1"/>
    <col min="10224" max="10224" width="10.6640625" style="16" customWidth="1"/>
    <col min="10225" max="10246" width="0" style="16" hidden="1" customWidth="1"/>
    <col min="10247" max="10247" width="15.1640625" style="16" customWidth="1"/>
    <col min="10248" max="10466" width="9.33203125" style="16"/>
    <col min="10467" max="10467" width="6.6640625" style="16" customWidth="1"/>
    <col min="10468" max="10468" width="9.6640625" style="16" customWidth="1"/>
    <col min="10469" max="10469" width="13.6640625" style="16" customWidth="1"/>
    <col min="10470" max="10470" width="11.1640625" style="16" customWidth="1"/>
    <col min="10471" max="10471" width="18.33203125" style="16" customWidth="1"/>
    <col min="10472" max="10472" width="12.5" style="16" customWidth="1"/>
    <col min="10473" max="10473" width="13" style="16" customWidth="1"/>
    <col min="10474" max="10474" width="17.33203125" style="16" customWidth="1"/>
    <col min="10475" max="10475" width="14.83203125" style="16" customWidth="1"/>
    <col min="10476" max="10476" width="16" style="16" customWidth="1"/>
    <col min="10477" max="10477" width="7.6640625" style="16" customWidth="1"/>
    <col min="10478" max="10478" width="10.1640625" style="16" customWidth="1"/>
    <col min="10479" max="10479" width="6.6640625" style="16" customWidth="1"/>
    <col min="10480" max="10480" width="10.6640625" style="16" customWidth="1"/>
    <col min="10481" max="10502" width="0" style="16" hidden="1" customWidth="1"/>
    <col min="10503" max="10503" width="15.1640625" style="16" customWidth="1"/>
    <col min="10504" max="10722" width="9.33203125" style="16"/>
    <col min="10723" max="10723" width="6.6640625" style="16" customWidth="1"/>
    <col min="10724" max="10724" width="9.6640625" style="16" customWidth="1"/>
    <col min="10725" max="10725" width="13.6640625" style="16" customWidth="1"/>
    <col min="10726" max="10726" width="11.1640625" style="16" customWidth="1"/>
    <col min="10727" max="10727" width="18.33203125" style="16" customWidth="1"/>
    <col min="10728" max="10728" width="12.5" style="16" customWidth="1"/>
    <col min="10729" max="10729" width="13" style="16" customWidth="1"/>
    <col min="10730" max="10730" width="17.33203125" style="16" customWidth="1"/>
    <col min="10731" max="10731" width="14.83203125" style="16" customWidth="1"/>
    <col min="10732" max="10732" width="16" style="16" customWidth="1"/>
    <col min="10733" max="10733" width="7.6640625" style="16" customWidth="1"/>
    <col min="10734" max="10734" width="10.1640625" style="16" customWidth="1"/>
    <col min="10735" max="10735" width="6.6640625" style="16" customWidth="1"/>
    <col min="10736" max="10736" width="10.6640625" style="16" customWidth="1"/>
    <col min="10737" max="10758" width="0" style="16" hidden="1" customWidth="1"/>
    <col min="10759" max="10759" width="15.1640625" style="16" customWidth="1"/>
    <col min="10760" max="10978" width="9.33203125" style="16"/>
    <col min="10979" max="10979" width="6.6640625" style="16" customWidth="1"/>
    <col min="10980" max="10980" width="9.6640625" style="16" customWidth="1"/>
    <col min="10981" max="10981" width="13.6640625" style="16" customWidth="1"/>
    <col min="10982" max="10982" width="11.1640625" style="16" customWidth="1"/>
    <col min="10983" max="10983" width="18.33203125" style="16" customWidth="1"/>
    <col min="10984" max="10984" width="12.5" style="16" customWidth="1"/>
    <col min="10985" max="10985" width="13" style="16" customWidth="1"/>
    <col min="10986" max="10986" width="17.33203125" style="16" customWidth="1"/>
    <col min="10987" max="10987" width="14.83203125" style="16" customWidth="1"/>
    <col min="10988" max="10988" width="16" style="16" customWidth="1"/>
    <col min="10989" max="10989" width="7.6640625" style="16" customWidth="1"/>
    <col min="10990" max="10990" width="10.1640625" style="16" customWidth="1"/>
    <col min="10991" max="10991" width="6.6640625" style="16" customWidth="1"/>
    <col min="10992" max="10992" width="10.6640625" style="16" customWidth="1"/>
    <col min="10993" max="11014" width="0" style="16" hidden="1" customWidth="1"/>
    <col min="11015" max="11015" width="15.1640625" style="16" customWidth="1"/>
    <col min="11016" max="11234" width="9.33203125" style="16"/>
    <col min="11235" max="11235" width="6.6640625" style="16" customWidth="1"/>
    <col min="11236" max="11236" width="9.6640625" style="16" customWidth="1"/>
    <col min="11237" max="11237" width="13.6640625" style="16" customWidth="1"/>
    <col min="11238" max="11238" width="11.1640625" style="16" customWidth="1"/>
    <col min="11239" max="11239" width="18.33203125" style="16" customWidth="1"/>
    <col min="11240" max="11240" width="12.5" style="16" customWidth="1"/>
    <col min="11241" max="11241" width="13" style="16" customWidth="1"/>
    <col min="11242" max="11242" width="17.33203125" style="16" customWidth="1"/>
    <col min="11243" max="11243" width="14.83203125" style="16" customWidth="1"/>
    <col min="11244" max="11244" width="16" style="16" customWidth="1"/>
    <col min="11245" max="11245" width="7.6640625" style="16" customWidth="1"/>
    <col min="11246" max="11246" width="10.1640625" style="16" customWidth="1"/>
    <col min="11247" max="11247" width="6.6640625" style="16" customWidth="1"/>
    <col min="11248" max="11248" width="10.6640625" style="16" customWidth="1"/>
    <col min="11249" max="11270" width="0" style="16" hidden="1" customWidth="1"/>
    <col min="11271" max="11271" width="15.1640625" style="16" customWidth="1"/>
    <col min="11272" max="11490" width="9.33203125" style="16"/>
    <col min="11491" max="11491" width="6.6640625" style="16" customWidth="1"/>
    <col min="11492" max="11492" width="9.6640625" style="16" customWidth="1"/>
    <col min="11493" max="11493" width="13.6640625" style="16" customWidth="1"/>
    <col min="11494" max="11494" width="11.1640625" style="16" customWidth="1"/>
    <col min="11495" max="11495" width="18.33203125" style="16" customWidth="1"/>
    <col min="11496" max="11496" width="12.5" style="16" customWidth="1"/>
    <col min="11497" max="11497" width="13" style="16" customWidth="1"/>
    <col min="11498" max="11498" width="17.33203125" style="16" customWidth="1"/>
    <col min="11499" max="11499" width="14.83203125" style="16" customWidth="1"/>
    <col min="11500" max="11500" width="16" style="16" customWidth="1"/>
    <col min="11501" max="11501" width="7.6640625" style="16" customWidth="1"/>
    <col min="11502" max="11502" width="10.1640625" style="16" customWidth="1"/>
    <col min="11503" max="11503" width="6.6640625" style="16" customWidth="1"/>
    <col min="11504" max="11504" width="10.6640625" style="16" customWidth="1"/>
    <col min="11505" max="11526" width="0" style="16" hidden="1" customWidth="1"/>
    <col min="11527" max="11527" width="15.1640625" style="16" customWidth="1"/>
    <col min="11528" max="11746" width="9.33203125" style="16"/>
    <col min="11747" max="11747" width="6.6640625" style="16" customWidth="1"/>
    <col min="11748" max="11748" width="9.6640625" style="16" customWidth="1"/>
    <col min="11749" max="11749" width="13.6640625" style="16" customWidth="1"/>
    <col min="11750" max="11750" width="11.1640625" style="16" customWidth="1"/>
    <col min="11751" max="11751" width="18.33203125" style="16" customWidth="1"/>
    <col min="11752" max="11752" width="12.5" style="16" customWidth="1"/>
    <col min="11753" max="11753" width="13" style="16" customWidth="1"/>
    <col min="11754" max="11754" width="17.33203125" style="16" customWidth="1"/>
    <col min="11755" max="11755" width="14.83203125" style="16" customWidth="1"/>
    <col min="11756" max="11756" width="16" style="16" customWidth="1"/>
    <col min="11757" max="11757" width="7.6640625" style="16" customWidth="1"/>
    <col min="11758" max="11758" width="10.1640625" style="16" customWidth="1"/>
    <col min="11759" max="11759" width="6.6640625" style="16" customWidth="1"/>
    <col min="11760" max="11760" width="10.6640625" style="16" customWidth="1"/>
    <col min="11761" max="11782" width="0" style="16" hidden="1" customWidth="1"/>
    <col min="11783" max="11783" width="15.1640625" style="16" customWidth="1"/>
    <col min="11784" max="12002" width="9.33203125" style="16"/>
    <col min="12003" max="12003" width="6.6640625" style="16" customWidth="1"/>
    <col min="12004" max="12004" width="9.6640625" style="16" customWidth="1"/>
    <col min="12005" max="12005" width="13.6640625" style="16" customWidth="1"/>
    <col min="12006" max="12006" width="11.1640625" style="16" customWidth="1"/>
    <col min="12007" max="12007" width="18.33203125" style="16" customWidth="1"/>
    <col min="12008" max="12008" width="12.5" style="16" customWidth="1"/>
    <col min="12009" max="12009" width="13" style="16" customWidth="1"/>
    <col min="12010" max="12010" width="17.33203125" style="16" customWidth="1"/>
    <col min="12011" max="12011" width="14.83203125" style="16" customWidth="1"/>
    <col min="12012" max="12012" width="16" style="16" customWidth="1"/>
    <col min="12013" max="12013" width="7.6640625" style="16" customWidth="1"/>
    <col min="12014" max="12014" width="10.1640625" style="16" customWidth="1"/>
    <col min="12015" max="12015" width="6.6640625" style="16" customWidth="1"/>
    <col min="12016" max="12016" width="10.6640625" style="16" customWidth="1"/>
    <col min="12017" max="12038" width="0" style="16" hidden="1" customWidth="1"/>
    <col min="12039" max="12039" width="15.1640625" style="16" customWidth="1"/>
    <col min="12040" max="12258" width="9.33203125" style="16"/>
    <col min="12259" max="12259" width="6.6640625" style="16" customWidth="1"/>
    <col min="12260" max="12260" width="9.6640625" style="16" customWidth="1"/>
    <col min="12261" max="12261" width="13.6640625" style="16" customWidth="1"/>
    <col min="12262" max="12262" width="11.1640625" style="16" customWidth="1"/>
    <col min="12263" max="12263" width="18.33203125" style="16" customWidth="1"/>
    <col min="12264" max="12264" width="12.5" style="16" customWidth="1"/>
    <col min="12265" max="12265" width="13" style="16" customWidth="1"/>
    <col min="12266" max="12266" width="17.33203125" style="16" customWidth="1"/>
    <col min="12267" max="12267" width="14.83203125" style="16" customWidth="1"/>
    <col min="12268" max="12268" width="16" style="16" customWidth="1"/>
    <col min="12269" max="12269" width="7.6640625" style="16" customWidth="1"/>
    <col min="12270" max="12270" width="10.1640625" style="16" customWidth="1"/>
    <col min="12271" max="12271" width="6.6640625" style="16" customWidth="1"/>
    <col min="12272" max="12272" width="10.6640625" style="16" customWidth="1"/>
    <col min="12273" max="12294" width="0" style="16" hidden="1" customWidth="1"/>
    <col min="12295" max="12295" width="15.1640625" style="16" customWidth="1"/>
    <col min="12296" max="12514" width="9.33203125" style="16"/>
    <col min="12515" max="12515" width="6.6640625" style="16" customWidth="1"/>
    <col min="12516" max="12516" width="9.6640625" style="16" customWidth="1"/>
    <col min="12517" max="12517" width="13.6640625" style="16" customWidth="1"/>
    <col min="12518" max="12518" width="11.1640625" style="16" customWidth="1"/>
    <col min="12519" max="12519" width="18.33203125" style="16" customWidth="1"/>
    <col min="12520" max="12520" width="12.5" style="16" customWidth="1"/>
    <col min="12521" max="12521" width="13" style="16" customWidth="1"/>
    <col min="12522" max="12522" width="17.33203125" style="16" customWidth="1"/>
    <col min="12523" max="12523" width="14.83203125" style="16" customWidth="1"/>
    <col min="12524" max="12524" width="16" style="16" customWidth="1"/>
    <col min="12525" max="12525" width="7.6640625" style="16" customWidth="1"/>
    <col min="12526" max="12526" width="10.1640625" style="16" customWidth="1"/>
    <col min="12527" max="12527" width="6.6640625" style="16" customWidth="1"/>
    <col min="12528" max="12528" width="10.6640625" style="16" customWidth="1"/>
    <col min="12529" max="12550" width="0" style="16" hidden="1" customWidth="1"/>
    <col min="12551" max="12551" width="15.1640625" style="16" customWidth="1"/>
    <col min="12552" max="12770" width="9.33203125" style="16"/>
    <col min="12771" max="12771" width="6.6640625" style="16" customWidth="1"/>
    <col min="12772" max="12772" width="9.6640625" style="16" customWidth="1"/>
    <col min="12773" max="12773" width="13.6640625" style="16" customWidth="1"/>
    <col min="12774" max="12774" width="11.1640625" style="16" customWidth="1"/>
    <col min="12775" max="12775" width="18.33203125" style="16" customWidth="1"/>
    <col min="12776" max="12776" width="12.5" style="16" customWidth="1"/>
    <col min="12777" max="12777" width="13" style="16" customWidth="1"/>
    <col min="12778" max="12778" width="17.33203125" style="16" customWidth="1"/>
    <col min="12779" max="12779" width="14.83203125" style="16" customWidth="1"/>
    <col min="12780" max="12780" width="16" style="16" customWidth="1"/>
    <col min="12781" max="12781" width="7.6640625" style="16" customWidth="1"/>
    <col min="12782" max="12782" width="10.1640625" style="16" customWidth="1"/>
    <col min="12783" max="12783" width="6.6640625" style="16" customWidth="1"/>
    <col min="12784" max="12784" width="10.6640625" style="16" customWidth="1"/>
    <col min="12785" max="12806" width="0" style="16" hidden="1" customWidth="1"/>
    <col min="12807" max="12807" width="15.1640625" style="16" customWidth="1"/>
    <col min="12808" max="13026" width="9.33203125" style="16"/>
    <col min="13027" max="13027" width="6.6640625" style="16" customWidth="1"/>
    <col min="13028" max="13028" width="9.6640625" style="16" customWidth="1"/>
    <col min="13029" max="13029" width="13.6640625" style="16" customWidth="1"/>
    <col min="13030" max="13030" width="11.1640625" style="16" customWidth="1"/>
    <col min="13031" max="13031" width="18.33203125" style="16" customWidth="1"/>
    <col min="13032" max="13032" width="12.5" style="16" customWidth="1"/>
    <col min="13033" max="13033" width="13" style="16" customWidth="1"/>
    <col min="13034" max="13034" width="17.33203125" style="16" customWidth="1"/>
    <col min="13035" max="13035" width="14.83203125" style="16" customWidth="1"/>
    <col min="13036" max="13036" width="16" style="16" customWidth="1"/>
    <col min="13037" max="13037" width="7.6640625" style="16" customWidth="1"/>
    <col min="13038" max="13038" width="10.1640625" style="16" customWidth="1"/>
    <col min="13039" max="13039" width="6.6640625" style="16" customWidth="1"/>
    <col min="13040" max="13040" width="10.6640625" style="16" customWidth="1"/>
    <col min="13041" max="13062" width="0" style="16" hidden="1" customWidth="1"/>
    <col min="13063" max="13063" width="15.1640625" style="16" customWidth="1"/>
    <col min="13064" max="13282" width="9.33203125" style="16"/>
    <col min="13283" max="13283" width="6.6640625" style="16" customWidth="1"/>
    <col min="13284" max="13284" width="9.6640625" style="16" customWidth="1"/>
    <col min="13285" max="13285" width="13.6640625" style="16" customWidth="1"/>
    <col min="13286" max="13286" width="11.1640625" style="16" customWidth="1"/>
    <col min="13287" max="13287" width="18.33203125" style="16" customWidth="1"/>
    <col min="13288" max="13288" width="12.5" style="16" customWidth="1"/>
    <col min="13289" max="13289" width="13" style="16" customWidth="1"/>
    <col min="13290" max="13290" width="17.33203125" style="16" customWidth="1"/>
    <col min="13291" max="13291" width="14.83203125" style="16" customWidth="1"/>
    <col min="13292" max="13292" width="16" style="16" customWidth="1"/>
    <col min="13293" max="13293" width="7.6640625" style="16" customWidth="1"/>
    <col min="13294" max="13294" width="10.1640625" style="16" customWidth="1"/>
    <col min="13295" max="13295" width="6.6640625" style="16" customWidth="1"/>
    <col min="13296" max="13296" width="10.6640625" style="16" customWidth="1"/>
    <col min="13297" max="13318" width="0" style="16" hidden="1" customWidth="1"/>
    <col min="13319" max="13319" width="15.1640625" style="16" customWidth="1"/>
    <col min="13320" max="13538" width="9.33203125" style="16"/>
    <col min="13539" max="13539" width="6.6640625" style="16" customWidth="1"/>
    <col min="13540" max="13540" width="9.6640625" style="16" customWidth="1"/>
    <col min="13541" max="13541" width="13.6640625" style="16" customWidth="1"/>
    <col min="13542" max="13542" width="11.1640625" style="16" customWidth="1"/>
    <col min="13543" max="13543" width="18.33203125" style="16" customWidth="1"/>
    <col min="13544" max="13544" width="12.5" style="16" customWidth="1"/>
    <col min="13545" max="13545" width="13" style="16" customWidth="1"/>
    <col min="13546" max="13546" width="17.33203125" style="16" customWidth="1"/>
    <col min="13547" max="13547" width="14.83203125" style="16" customWidth="1"/>
    <col min="13548" max="13548" width="16" style="16" customWidth="1"/>
    <col min="13549" max="13549" width="7.6640625" style="16" customWidth="1"/>
    <col min="13550" max="13550" width="10.1640625" style="16" customWidth="1"/>
    <col min="13551" max="13551" width="6.6640625" style="16" customWidth="1"/>
    <col min="13552" max="13552" width="10.6640625" style="16" customWidth="1"/>
    <col min="13553" max="13574" width="0" style="16" hidden="1" customWidth="1"/>
    <col min="13575" max="13575" width="15.1640625" style="16" customWidth="1"/>
    <col min="13576" max="13794" width="9.33203125" style="16"/>
    <col min="13795" max="13795" width="6.6640625" style="16" customWidth="1"/>
    <col min="13796" max="13796" width="9.6640625" style="16" customWidth="1"/>
    <col min="13797" max="13797" width="13.6640625" style="16" customWidth="1"/>
    <col min="13798" max="13798" width="11.1640625" style="16" customWidth="1"/>
    <col min="13799" max="13799" width="18.33203125" style="16" customWidth="1"/>
    <col min="13800" max="13800" width="12.5" style="16" customWidth="1"/>
    <col min="13801" max="13801" width="13" style="16" customWidth="1"/>
    <col min="13802" max="13802" width="17.33203125" style="16" customWidth="1"/>
    <col min="13803" max="13803" width="14.83203125" style="16" customWidth="1"/>
    <col min="13804" max="13804" width="16" style="16" customWidth="1"/>
    <col min="13805" max="13805" width="7.6640625" style="16" customWidth="1"/>
    <col min="13806" max="13806" width="10.1640625" style="16" customWidth="1"/>
    <col min="13807" max="13807" width="6.6640625" style="16" customWidth="1"/>
    <col min="13808" max="13808" width="10.6640625" style="16" customWidth="1"/>
    <col min="13809" max="13830" width="0" style="16" hidden="1" customWidth="1"/>
    <col min="13831" max="13831" width="15.1640625" style="16" customWidth="1"/>
    <col min="13832" max="14050" width="9.33203125" style="16"/>
    <col min="14051" max="14051" width="6.6640625" style="16" customWidth="1"/>
    <col min="14052" max="14052" width="9.6640625" style="16" customWidth="1"/>
    <col min="14053" max="14053" width="13.6640625" style="16" customWidth="1"/>
    <col min="14054" max="14054" width="11.1640625" style="16" customWidth="1"/>
    <col min="14055" max="14055" width="18.33203125" style="16" customWidth="1"/>
    <col min="14056" max="14056" width="12.5" style="16" customWidth="1"/>
    <col min="14057" max="14057" width="13" style="16" customWidth="1"/>
    <col min="14058" max="14058" width="17.33203125" style="16" customWidth="1"/>
    <col min="14059" max="14059" width="14.83203125" style="16" customWidth="1"/>
    <col min="14060" max="14060" width="16" style="16" customWidth="1"/>
    <col min="14061" max="14061" width="7.6640625" style="16" customWidth="1"/>
    <col min="14062" max="14062" width="10.1640625" style="16" customWidth="1"/>
    <col min="14063" max="14063" width="6.6640625" style="16" customWidth="1"/>
    <col min="14064" max="14064" width="10.6640625" style="16" customWidth="1"/>
    <col min="14065" max="14086" width="0" style="16" hidden="1" customWidth="1"/>
    <col min="14087" max="14087" width="15.1640625" style="16" customWidth="1"/>
    <col min="14088" max="14306" width="9.33203125" style="16"/>
    <col min="14307" max="14307" width="6.6640625" style="16" customWidth="1"/>
    <col min="14308" max="14308" width="9.6640625" style="16" customWidth="1"/>
    <col min="14309" max="14309" width="13.6640625" style="16" customWidth="1"/>
    <col min="14310" max="14310" width="11.1640625" style="16" customWidth="1"/>
    <col min="14311" max="14311" width="18.33203125" style="16" customWidth="1"/>
    <col min="14312" max="14312" width="12.5" style="16" customWidth="1"/>
    <col min="14313" max="14313" width="13" style="16" customWidth="1"/>
    <col min="14314" max="14314" width="17.33203125" style="16" customWidth="1"/>
    <col min="14315" max="14315" width="14.83203125" style="16" customWidth="1"/>
    <col min="14316" max="14316" width="16" style="16" customWidth="1"/>
    <col min="14317" max="14317" width="7.6640625" style="16" customWidth="1"/>
    <col min="14318" max="14318" width="10.1640625" style="16" customWidth="1"/>
    <col min="14319" max="14319" width="6.6640625" style="16" customWidth="1"/>
    <col min="14320" max="14320" width="10.6640625" style="16" customWidth="1"/>
    <col min="14321" max="14342" width="0" style="16" hidden="1" customWidth="1"/>
    <col min="14343" max="14343" width="15.1640625" style="16" customWidth="1"/>
    <col min="14344" max="14562" width="9.33203125" style="16"/>
    <col min="14563" max="14563" width="6.6640625" style="16" customWidth="1"/>
    <col min="14564" max="14564" width="9.6640625" style="16" customWidth="1"/>
    <col min="14565" max="14565" width="13.6640625" style="16" customWidth="1"/>
    <col min="14566" max="14566" width="11.1640625" style="16" customWidth="1"/>
    <col min="14567" max="14567" width="18.33203125" style="16" customWidth="1"/>
    <col min="14568" max="14568" width="12.5" style="16" customWidth="1"/>
    <col min="14569" max="14569" width="13" style="16" customWidth="1"/>
    <col min="14570" max="14570" width="17.33203125" style="16" customWidth="1"/>
    <col min="14571" max="14571" width="14.83203125" style="16" customWidth="1"/>
    <col min="14572" max="14572" width="16" style="16" customWidth="1"/>
    <col min="14573" max="14573" width="7.6640625" style="16" customWidth="1"/>
    <col min="14574" max="14574" width="10.1640625" style="16" customWidth="1"/>
    <col min="14575" max="14575" width="6.6640625" style="16" customWidth="1"/>
    <col min="14576" max="14576" width="10.6640625" style="16" customWidth="1"/>
    <col min="14577" max="14598" width="0" style="16" hidden="1" customWidth="1"/>
    <col min="14599" max="14599" width="15.1640625" style="16" customWidth="1"/>
    <col min="14600" max="14818" width="9.33203125" style="16"/>
    <col min="14819" max="14819" width="6.6640625" style="16" customWidth="1"/>
    <col min="14820" max="14820" width="9.6640625" style="16" customWidth="1"/>
    <col min="14821" max="14821" width="13.6640625" style="16" customWidth="1"/>
    <col min="14822" max="14822" width="11.1640625" style="16" customWidth="1"/>
    <col min="14823" max="14823" width="18.33203125" style="16" customWidth="1"/>
    <col min="14824" max="14824" width="12.5" style="16" customWidth="1"/>
    <col min="14825" max="14825" width="13" style="16" customWidth="1"/>
    <col min="14826" max="14826" width="17.33203125" style="16" customWidth="1"/>
    <col min="14827" max="14827" width="14.83203125" style="16" customWidth="1"/>
    <col min="14828" max="14828" width="16" style="16" customWidth="1"/>
    <col min="14829" max="14829" width="7.6640625" style="16" customWidth="1"/>
    <col min="14830" max="14830" width="10.1640625" style="16" customWidth="1"/>
    <col min="14831" max="14831" width="6.6640625" style="16" customWidth="1"/>
    <col min="14832" max="14832" width="10.6640625" style="16" customWidth="1"/>
    <col min="14833" max="14854" width="0" style="16" hidden="1" customWidth="1"/>
    <col min="14855" max="14855" width="15.1640625" style="16" customWidth="1"/>
    <col min="14856" max="15074" width="9.33203125" style="16"/>
    <col min="15075" max="15075" width="6.6640625" style="16" customWidth="1"/>
    <col min="15076" max="15076" width="9.6640625" style="16" customWidth="1"/>
    <col min="15077" max="15077" width="13.6640625" style="16" customWidth="1"/>
    <col min="15078" max="15078" width="11.1640625" style="16" customWidth="1"/>
    <col min="15079" max="15079" width="18.33203125" style="16" customWidth="1"/>
    <col min="15080" max="15080" width="12.5" style="16" customWidth="1"/>
    <col min="15081" max="15081" width="13" style="16" customWidth="1"/>
    <col min="15082" max="15082" width="17.33203125" style="16" customWidth="1"/>
    <col min="15083" max="15083" width="14.83203125" style="16" customWidth="1"/>
    <col min="15084" max="15084" width="16" style="16" customWidth="1"/>
    <col min="15085" max="15085" width="7.6640625" style="16" customWidth="1"/>
    <col min="15086" max="15086" width="10.1640625" style="16" customWidth="1"/>
    <col min="15087" max="15087" width="6.6640625" style="16" customWidth="1"/>
    <col min="15088" max="15088" width="10.6640625" style="16" customWidth="1"/>
    <col min="15089" max="15110" width="0" style="16" hidden="1" customWidth="1"/>
    <col min="15111" max="15111" width="15.1640625" style="16" customWidth="1"/>
    <col min="15112" max="15330" width="9.33203125" style="16"/>
    <col min="15331" max="15331" width="6.6640625" style="16" customWidth="1"/>
    <col min="15332" max="15332" width="9.6640625" style="16" customWidth="1"/>
    <col min="15333" max="15333" width="13.6640625" style="16" customWidth="1"/>
    <col min="15334" max="15334" width="11.1640625" style="16" customWidth="1"/>
    <col min="15335" max="15335" width="18.33203125" style="16" customWidth="1"/>
    <col min="15336" max="15336" width="12.5" style="16" customWidth="1"/>
    <col min="15337" max="15337" width="13" style="16" customWidth="1"/>
    <col min="15338" max="15338" width="17.33203125" style="16" customWidth="1"/>
    <col min="15339" max="15339" width="14.83203125" style="16" customWidth="1"/>
    <col min="15340" max="15340" width="16" style="16" customWidth="1"/>
    <col min="15341" max="15341" width="7.6640625" style="16" customWidth="1"/>
    <col min="15342" max="15342" width="10.1640625" style="16" customWidth="1"/>
    <col min="15343" max="15343" width="6.6640625" style="16" customWidth="1"/>
    <col min="15344" max="15344" width="10.6640625" style="16" customWidth="1"/>
    <col min="15345" max="15366" width="0" style="16" hidden="1" customWidth="1"/>
    <col min="15367" max="15367" width="15.1640625" style="16" customWidth="1"/>
    <col min="15368" max="15586" width="9.33203125" style="16"/>
    <col min="15587" max="15587" width="6.6640625" style="16" customWidth="1"/>
    <col min="15588" max="15588" width="9.6640625" style="16" customWidth="1"/>
    <col min="15589" max="15589" width="13.6640625" style="16" customWidth="1"/>
    <col min="15590" max="15590" width="11.1640625" style="16" customWidth="1"/>
    <col min="15591" max="15591" width="18.33203125" style="16" customWidth="1"/>
    <col min="15592" max="15592" width="12.5" style="16" customWidth="1"/>
    <col min="15593" max="15593" width="13" style="16" customWidth="1"/>
    <col min="15594" max="15594" width="17.33203125" style="16" customWidth="1"/>
    <col min="15595" max="15595" width="14.83203125" style="16" customWidth="1"/>
    <col min="15596" max="15596" width="16" style="16" customWidth="1"/>
    <col min="15597" max="15597" width="7.6640625" style="16" customWidth="1"/>
    <col min="15598" max="15598" width="10.1640625" style="16" customWidth="1"/>
    <col min="15599" max="15599" width="6.6640625" style="16" customWidth="1"/>
    <col min="15600" max="15600" width="10.6640625" style="16" customWidth="1"/>
    <col min="15601" max="15622" width="0" style="16" hidden="1" customWidth="1"/>
    <col min="15623" max="15623" width="15.1640625" style="16" customWidth="1"/>
    <col min="15624" max="15842" width="9.33203125" style="16"/>
    <col min="15843" max="15843" width="6.6640625" style="16" customWidth="1"/>
    <col min="15844" max="15844" width="9.6640625" style="16" customWidth="1"/>
    <col min="15845" max="15845" width="13.6640625" style="16" customWidth="1"/>
    <col min="15846" max="15846" width="11.1640625" style="16" customWidth="1"/>
    <col min="15847" max="15847" width="18.33203125" style="16" customWidth="1"/>
    <col min="15848" max="15848" width="12.5" style="16" customWidth="1"/>
    <col min="15849" max="15849" width="13" style="16" customWidth="1"/>
    <col min="15850" max="15850" width="17.33203125" style="16" customWidth="1"/>
    <col min="15851" max="15851" width="14.83203125" style="16" customWidth="1"/>
    <col min="15852" max="15852" width="16" style="16" customWidth="1"/>
    <col min="15853" max="15853" width="7.6640625" style="16" customWidth="1"/>
    <col min="15854" max="15854" width="10.1640625" style="16" customWidth="1"/>
    <col min="15855" max="15855" width="6.6640625" style="16" customWidth="1"/>
    <col min="15856" max="15856" width="10.6640625" style="16" customWidth="1"/>
    <col min="15857" max="15878" width="0" style="16" hidden="1" customWidth="1"/>
    <col min="15879" max="15879" width="15.1640625" style="16" customWidth="1"/>
    <col min="15880" max="16098" width="9.33203125" style="16"/>
    <col min="16099" max="16099" width="6.6640625" style="16" customWidth="1"/>
    <col min="16100" max="16100" width="9.6640625" style="16" customWidth="1"/>
    <col min="16101" max="16101" width="13.6640625" style="16" customWidth="1"/>
    <col min="16102" max="16102" width="11.1640625" style="16" customWidth="1"/>
    <col min="16103" max="16103" width="18.33203125" style="16" customWidth="1"/>
    <col min="16104" max="16104" width="12.5" style="16" customWidth="1"/>
    <col min="16105" max="16105" width="13" style="16" customWidth="1"/>
    <col min="16106" max="16106" width="17.33203125" style="16" customWidth="1"/>
    <col min="16107" max="16107" width="14.83203125" style="16" customWidth="1"/>
    <col min="16108" max="16108" width="16" style="16" customWidth="1"/>
    <col min="16109" max="16109" width="7.6640625" style="16" customWidth="1"/>
    <col min="16110" max="16110" width="10.1640625" style="16" customWidth="1"/>
    <col min="16111" max="16111" width="6.6640625" style="16" customWidth="1"/>
    <col min="16112" max="16112" width="10.6640625" style="16" customWidth="1"/>
    <col min="16113" max="16134" width="0" style="16" hidden="1" customWidth="1"/>
    <col min="16135" max="16135" width="15.1640625" style="16" customWidth="1"/>
    <col min="16136" max="16384" width="9.33203125" style="16"/>
  </cols>
  <sheetData>
    <row r="1" spans="1:10" s="15" customFormat="1" ht="15" x14ac:dyDescent="0.25">
      <c r="C1" s="39"/>
      <c r="D1" s="39"/>
      <c r="E1" s="39"/>
      <c r="F1" s="39"/>
      <c r="H1" s="39"/>
      <c r="I1" s="39"/>
      <c r="J1" s="40" t="s">
        <v>61</v>
      </c>
    </row>
    <row r="2" spans="1:10" s="15" customFormat="1" ht="15" x14ac:dyDescent="0.25">
      <c r="J2" s="43" t="s">
        <v>1</v>
      </c>
    </row>
    <row r="3" spans="1:10" s="15" customFormat="1" ht="15" x14ac:dyDescent="0.25">
      <c r="H3" s="41"/>
      <c r="I3" s="41"/>
      <c r="J3" s="43" t="s">
        <v>28</v>
      </c>
    </row>
    <row r="4" spans="1:10" s="15" customFormat="1" ht="15" x14ac:dyDescent="0.25">
      <c r="J4" s="42" t="s">
        <v>3</v>
      </c>
    </row>
    <row r="5" spans="1:10" s="15" customFormat="1" ht="15" x14ac:dyDescent="0.25">
      <c r="I5" s="32" t="s">
        <v>4</v>
      </c>
      <c r="J5" s="44">
        <v>322001</v>
      </c>
    </row>
    <row r="6" spans="1:10" s="15" customFormat="1" ht="15" x14ac:dyDescent="0.25">
      <c r="J6" s="51"/>
    </row>
    <row r="7" spans="1:10" ht="28.5" customHeight="1" x14ac:dyDescent="0.2">
      <c r="A7" s="41" t="s">
        <v>62</v>
      </c>
      <c r="C7" s="41"/>
      <c r="D7" s="183" t="s">
        <v>66</v>
      </c>
      <c r="E7" s="183"/>
      <c r="F7" s="183"/>
      <c r="G7" s="183"/>
      <c r="H7" s="183"/>
      <c r="I7" s="121" t="s">
        <v>6</v>
      </c>
      <c r="J7" s="93">
        <v>74641884</v>
      </c>
    </row>
    <row r="8" spans="1:10" s="23" customFormat="1" ht="15.75" x14ac:dyDescent="0.25">
      <c r="D8" s="184" t="s">
        <v>29</v>
      </c>
      <c r="E8" s="184"/>
      <c r="F8" s="184"/>
      <c r="I8" s="53"/>
      <c r="J8" s="112"/>
    </row>
    <row r="9" spans="1:10" x14ac:dyDescent="0.2">
      <c r="A9" s="178" t="s">
        <v>65</v>
      </c>
      <c r="B9" s="178"/>
      <c r="C9" s="178"/>
      <c r="D9" s="183" t="s">
        <v>67</v>
      </c>
      <c r="E9" s="183"/>
      <c r="F9" s="183"/>
      <c r="G9" s="183"/>
      <c r="H9" s="183"/>
      <c r="I9" s="121" t="s">
        <v>6</v>
      </c>
      <c r="J9" s="111" t="s">
        <v>68</v>
      </c>
    </row>
    <row r="10" spans="1:10" s="23" customFormat="1" ht="15.75" x14ac:dyDescent="0.25">
      <c r="D10" s="184" t="s">
        <v>29</v>
      </c>
      <c r="E10" s="184"/>
      <c r="F10" s="184"/>
      <c r="I10" s="54"/>
      <c r="J10" s="71"/>
    </row>
    <row r="11" spans="1:10" x14ac:dyDescent="0.2">
      <c r="A11" s="16" t="s">
        <v>75</v>
      </c>
      <c r="D11" s="183" t="s">
        <v>59</v>
      </c>
      <c r="E11" s="183"/>
      <c r="F11" s="183"/>
      <c r="G11" s="183"/>
      <c r="H11" s="183"/>
      <c r="I11" s="121" t="s">
        <v>6</v>
      </c>
      <c r="J11" s="111" t="s">
        <v>43</v>
      </c>
    </row>
    <row r="12" spans="1:10" s="23" customFormat="1" ht="15.75" x14ac:dyDescent="0.25">
      <c r="D12" s="184" t="s">
        <v>29</v>
      </c>
      <c r="E12" s="184"/>
      <c r="F12" s="184"/>
      <c r="H12" s="54"/>
      <c r="I12" s="54"/>
      <c r="J12" s="63"/>
    </row>
    <row r="13" spans="1:10" x14ac:dyDescent="0.2">
      <c r="A13" s="16" t="s">
        <v>50</v>
      </c>
      <c r="D13" s="183" t="s">
        <v>149</v>
      </c>
      <c r="E13" s="183"/>
      <c r="F13" s="183"/>
      <c r="G13" s="110"/>
      <c r="H13" s="89"/>
      <c r="I13" s="88"/>
      <c r="J13" s="93"/>
    </row>
    <row r="14" spans="1:10" s="23" customFormat="1" ht="15.75" x14ac:dyDescent="0.25">
      <c r="D14" s="184" t="s">
        <v>30</v>
      </c>
      <c r="E14" s="184"/>
      <c r="F14" s="184"/>
      <c r="H14" s="54"/>
      <c r="I14" s="54"/>
      <c r="J14" s="64"/>
    </row>
    <row r="15" spans="1:10" x14ac:dyDescent="0.2">
      <c r="A15" s="16" t="s">
        <v>51</v>
      </c>
      <c r="C15" s="41"/>
      <c r="D15" s="185" t="str">
        <f>D13</f>
        <v xml:space="preserve"> Бизнес-центр с подземным паркингом по адресу: г. Москва, шоссе Хорошёвское, вл. 39  </v>
      </c>
      <c r="E15" s="185"/>
      <c r="F15" s="185"/>
      <c r="G15" s="110"/>
      <c r="H15" s="89"/>
      <c r="I15" s="88"/>
      <c r="J15" s="97"/>
    </row>
    <row r="16" spans="1:10" s="23" customFormat="1" ht="15.75" x14ac:dyDescent="0.25">
      <c r="D16" s="184" t="s">
        <v>31</v>
      </c>
      <c r="E16" s="184"/>
      <c r="G16" s="54"/>
      <c r="I16" s="32" t="s">
        <v>32</v>
      </c>
      <c r="J16" s="48"/>
    </row>
    <row r="17" spans="1:11" ht="16.5" customHeight="1" x14ac:dyDescent="0.2">
      <c r="H17" s="43" t="s">
        <v>60</v>
      </c>
      <c r="I17" s="80" t="s">
        <v>9</v>
      </c>
      <c r="J17" s="151" t="s">
        <v>63</v>
      </c>
    </row>
    <row r="18" spans="1:11" x14ac:dyDescent="0.2">
      <c r="I18" s="120" t="s">
        <v>10</v>
      </c>
      <c r="J18" s="123" t="s">
        <v>64</v>
      </c>
    </row>
    <row r="19" spans="1:11" x14ac:dyDescent="0.2">
      <c r="I19" s="121" t="s">
        <v>33</v>
      </c>
      <c r="J19" s="93"/>
    </row>
    <row r="21" spans="1:11" ht="15" customHeight="1" x14ac:dyDescent="0.2">
      <c r="G21" s="179" t="s">
        <v>12</v>
      </c>
      <c r="H21" s="179" t="s">
        <v>13</v>
      </c>
      <c r="I21" s="181" t="s">
        <v>114</v>
      </c>
      <c r="J21" s="182"/>
    </row>
    <row r="22" spans="1:11" x14ac:dyDescent="0.2">
      <c r="G22" s="180"/>
      <c r="H22" s="180"/>
      <c r="I22" s="77" t="s">
        <v>15</v>
      </c>
      <c r="J22" s="76" t="s">
        <v>16</v>
      </c>
    </row>
    <row r="23" spans="1:11" x14ac:dyDescent="0.2">
      <c r="D23" s="122" t="s">
        <v>34</v>
      </c>
      <c r="G23" s="120">
        <v>1</v>
      </c>
      <c r="H23" s="123">
        <v>45961</v>
      </c>
      <c r="I23" s="123">
        <v>45922</v>
      </c>
      <c r="J23" s="123">
        <f>H23</f>
        <v>45961</v>
      </c>
    </row>
    <row r="24" spans="1:11" x14ac:dyDescent="0.2">
      <c r="D24" s="122" t="s">
        <v>35</v>
      </c>
      <c r="E24" s="124"/>
      <c r="F24" s="124"/>
      <c r="G24" s="124"/>
      <c r="H24" s="124"/>
      <c r="I24" s="124"/>
    </row>
    <row r="25" spans="1:11" x14ac:dyDescent="0.2">
      <c r="A25" s="41" t="s">
        <v>113</v>
      </c>
      <c r="C25" s="178" t="s">
        <v>119</v>
      </c>
      <c r="D25" s="178"/>
      <c r="E25" s="178"/>
      <c r="F25" s="178"/>
      <c r="G25" s="178"/>
      <c r="H25" s="178"/>
      <c r="I25" s="178"/>
      <c r="J25" s="178"/>
    </row>
    <row r="26" spans="1:11" x14ac:dyDescent="0.2">
      <c r="A26" s="110"/>
      <c r="B26" s="110"/>
      <c r="C26" s="110"/>
      <c r="D26" s="110"/>
      <c r="E26" s="110"/>
      <c r="F26" s="110"/>
      <c r="G26" s="110"/>
      <c r="H26" s="110"/>
    </row>
    <row r="27" spans="1:11" ht="41.25" customHeight="1" x14ac:dyDescent="0.2">
      <c r="A27" s="78" t="s">
        <v>74</v>
      </c>
      <c r="B27" s="78" t="s">
        <v>26</v>
      </c>
      <c r="C27" s="78" t="s">
        <v>45</v>
      </c>
      <c r="D27" s="78" t="s">
        <v>27</v>
      </c>
      <c r="E27" s="78" t="s">
        <v>36</v>
      </c>
      <c r="F27" s="78" t="s">
        <v>56</v>
      </c>
      <c r="G27" s="78" t="s">
        <v>57</v>
      </c>
      <c r="H27" s="78" t="s">
        <v>58</v>
      </c>
      <c r="I27" s="78" t="s">
        <v>115</v>
      </c>
      <c r="J27" s="78" t="s">
        <v>111</v>
      </c>
    </row>
    <row r="28" spans="1:11" s="79" customFormat="1" x14ac:dyDescent="0.2">
      <c r="A28" s="51">
        <v>1</v>
      </c>
      <c r="B28" s="51">
        <v>2</v>
      </c>
      <c r="C28" s="51">
        <v>3</v>
      </c>
      <c r="D28" s="51">
        <v>4</v>
      </c>
      <c r="E28" s="51">
        <v>5</v>
      </c>
      <c r="F28" s="51">
        <v>6</v>
      </c>
      <c r="G28" s="51">
        <v>7</v>
      </c>
      <c r="H28" s="90">
        <v>8</v>
      </c>
      <c r="I28" s="90">
        <v>9</v>
      </c>
      <c r="J28" s="51">
        <v>10</v>
      </c>
    </row>
    <row r="29" spans="1:11" s="21" customFormat="1" ht="15" x14ac:dyDescent="0.25">
      <c r="A29" s="113"/>
      <c r="B29" s="92"/>
      <c r="C29" s="47"/>
      <c r="D29" s="47" t="s">
        <v>73</v>
      </c>
      <c r="E29" s="47"/>
      <c r="F29" s="47"/>
      <c r="G29" s="47"/>
      <c r="H29" s="72"/>
      <c r="I29" s="72"/>
      <c r="J29" s="107"/>
    </row>
    <row r="30" spans="1:11" s="33" customFormat="1" ht="31.5" customHeight="1" x14ac:dyDescent="0.25">
      <c r="A30" s="68" t="s">
        <v>76</v>
      </c>
      <c r="B30" s="81">
        <f>B29+1</f>
        <v>1</v>
      </c>
      <c r="C30" s="91">
        <v>41</v>
      </c>
      <c r="D30" s="94" t="s">
        <v>77</v>
      </c>
      <c r="E30" s="95" t="s">
        <v>38</v>
      </c>
      <c r="F30" s="169">
        <f>43.16+8.46</f>
        <v>51.62</v>
      </c>
      <c r="G30" s="127">
        <v>1725</v>
      </c>
      <c r="H30" s="117">
        <f>ROUND(F30*G30,2)</f>
        <v>89044.5</v>
      </c>
      <c r="I30" s="96"/>
      <c r="J30" s="97"/>
    </row>
    <row r="31" spans="1:11" s="33" customFormat="1" ht="15" x14ac:dyDescent="0.25">
      <c r="A31" s="68" t="s">
        <v>76</v>
      </c>
      <c r="B31" s="81">
        <f t="shared" ref="B31:B44" si="0">B30+1</f>
        <v>2</v>
      </c>
      <c r="C31" s="91">
        <v>42</v>
      </c>
      <c r="D31" s="94" t="s">
        <v>78</v>
      </c>
      <c r="E31" s="95" t="s">
        <v>38</v>
      </c>
      <c r="F31" s="169">
        <v>139.44999999999999</v>
      </c>
      <c r="G31" s="127">
        <v>13500</v>
      </c>
      <c r="H31" s="117">
        <f>ROUND(F31*G31,2)</f>
        <v>1882575</v>
      </c>
      <c r="I31" s="96"/>
      <c r="J31" s="170"/>
    </row>
    <row r="32" spans="1:11" s="70" customFormat="1" ht="15" x14ac:dyDescent="0.25">
      <c r="A32" s="73" t="s">
        <v>76</v>
      </c>
      <c r="B32" s="98">
        <f t="shared" si="0"/>
        <v>3</v>
      </c>
      <c r="C32" s="74">
        <v>43</v>
      </c>
      <c r="D32" s="156" t="s">
        <v>79</v>
      </c>
      <c r="E32" s="157" t="s">
        <v>38</v>
      </c>
      <c r="F32" s="171">
        <v>142.5</v>
      </c>
      <c r="G32" s="129">
        <v>7070</v>
      </c>
      <c r="H32" s="158">
        <f>ROUND(F32*G32,2)</f>
        <v>1007475</v>
      </c>
      <c r="I32" s="131">
        <v>1.022</v>
      </c>
      <c r="J32" s="172"/>
      <c r="K32" s="168"/>
    </row>
    <row r="33" spans="1:13" s="70" customFormat="1" ht="15" x14ac:dyDescent="0.25">
      <c r="A33" s="73" t="s">
        <v>76</v>
      </c>
      <c r="B33" s="98">
        <f t="shared" si="0"/>
        <v>4</v>
      </c>
      <c r="C33" s="74">
        <v>45</v>
      </c>
      <c r="D33" s="99" t="s">
        <v>81</v>
      </c>
      <c r="E33" s="100" t="s">
        <v>80</v>
      </c>
      <c r="F33" s="171">
        <f>ROUND(105.29*F31/767.3,2)</f>
        <v>19.14</v>
      </c>
      <c r="G33" s="129">
        <v>45900</v>
      </c>
      <c r="H33" s="130">
        <f>ROUND(F33*G33,2)</f>
        <v>878526</v>
      </c>
      <c r="I33" s="131">
        <v>1.0329999999999999</v>
      </c>
      <c r="J33" s="173"/>
    </row>
    <row r="34" spans="1:13" s="70" customFormat="1" ht="15" x14ac:dyDescent="0.25">
      <c r="A34" s="73" t="s">
        <v>76</v>
      </c>
      <c r="B34" s="98">
        <f t="shared" si="0"/>
        <v>5</v>
      </c>
      <c r="C34" s="74">
        <v>46</v>
      </c>
      <c r="D34" s="99" t="s">
        <v>109</v>
      </c>
      <c r="E34" s="100" t="s">
        <v>110</v>
      </c>
      <c r="F34" s="128">
        <v>392.3</v>
      </c>
      <c r="G34" s="129">
        <v>92</v>
      </c>
      <c r="H34" s="130">
        <f>ROUND(F34*G34,2)</f>
        <v>36091.599999999999</v>
      </c>
      <c r="I34" s="101">
        <v>1.1000000000000001</v>
      </c>
      <c r="J34" s="102"/>
    </row>
    <row r="35" spans="1:13" s="33" customFormat="1" ht="14.25" customHeight="1" x14ac:dyDescent="0.25">
      <c r="A35" s="69"/>
      <c r="B35" s="103"/>
      <c r="C35" s="47"/>
      <c r="D35" s="47" t="s">
        <v>82</v>
      </c>
      <c r="E35" s="47"/>
      <c r="F35" s="132"/>
      <c r="G35" s="47"/>
      <c r="H35" s="72"/>
      <c r="I35" s="72"/>
      <c r="J35" s="108"/>
    </row>
    <row r="36" spans="1:13" s="33" customFormat="1" ht="15" x14ac:dyDescent="0.25">
      <c r="A36" s="68" t="s">
        <v>76</v>
      </c>
      <c r="B36" s="81">
        <f>B34+1</f>
        <v>6</v>
      </c>
      <c r="C36" s="91">
        <v>98</v>
      </c>
      <c r="D36" s="94" t="s">
        <v>83</v>
      </c>
      <c r="E36" s="95" t="s">
        <v>38</v>
      </c>
      <c r="F36" s="126">
        <v>5.2</v>
      </c>
      <c r="G36" s="127">
        <v>7000</v>
      </c>
      <c r="H36" s="117">
        <f>ROUND(F36*G36,2)</f>
        <v>36400</v>
      </c>
      <c r="I36" s="96"/>
      <c r="J36" s="97"/>
    </row>
    <row r="37" spans="1:13" s="70" customFormat="1" ht="25.5" x14ac:dyDescent="0.25">
      <c r="A37" s="73" t="s">
        <v>76</v>
      </c>
      <c r="B37" s="98">
        <f t="shared" si="0"/>
        <v>7</v>
      </c>
      <c r="C37" s="74">
        <v>99</v>
      </c>
      <c r="D37" s="156" t="s">
        <v>150</v>
      </c>
      <c r="E37" s="100" t="s">
        <v>38</v>
      </c>
      <c r="F37" s="128">
        <v>6</v>
      </c>
      <c r="G37" s="129">
        <v>6383.33</v>
      </c>
      <c r="H37" s="130">
        <f>ROUND(F37*G37,2)</f>
        <v>38299.980000000003</v>
      </c>
      <c r="I37" s="114">
        <f>F37/F36</f>
        <v>1.1538461538461537</v>
      </c>
      <c r="J37" s="97"/>
    </row>
    <row r="38" spans="1:13" s="33" customFormat="1" ht="31.5" customHeight="1" x14ac:dyDescent="0.25">
      <c r="A38" s="68" t="s">
        <v>76</v>
      </c>
      <c r="B38" s="81">
        <f t="shared" si="0"/>
        <v>8</v>
      </c>
      <c r="C38" s="91">
        <v>100</v>
      </c>
      <c r="D38" s="94" t="s">
        <v>84</v>
      </c>
      <c r="E38" s="95" t="s">
        <v>38</v>
      </c>
      <c r="F38" s="169">
        <v>73.5</v>
      </c>
      <c r="G38" s="127">
        <v>19500</v>
      </c>
      <c r="H38" s="117">
        <f>ROUND(F38*G38,2)</f>
        <v>1433250</v>
      </c>
      <c r="I38" s="116"/>
      <c r="J38" s="97"/>
    </row>
    <row r="39" spans="1:13" s="70" customFormat="1" ht="15" x14ac:dyDescent="0.25">
      <c r="A39" s="73" t="s">
        <v>76</v>
      </c>
      <c r="B39" s="98">
        <f t="shared" si="0"/>
        <v>9</v>
      </c>
      <c r="C39" s="74">
        <v>101</v>
      </c>
      <c r="D39" s="99" t="s">
        <v>85</v>
      </c>
      <c r="E39" s="100" t="s">
        <v>38</v>
      </c>
      <c r="F39" s="171">
        <f>ROUND(F38*I39,2)</f>
        <v>74.599999999999994</v>
      </c>
      <c r="G39" s="129">
        <v>6850</v>
      </c>
      <c r="H39" s="130">
        <f>ROUND(F39*G39,2)</f>
        <v>511010</v>
      </c>
      <c r="I39" s="114">
        <v>1.0149999999999999</v>
      </c>
      <c r="J39" s="97"/>
    </row>
    <row r="40" spans="1:13" s="70" customFormat="1" ht="15" x14ac:dyDescent="0.25">
      <c r="A40" s="73" t="s">
        <v>76</v>
      </c>
      <c r="B40" s="98">
        <f t="shared" si="0"/>
        <v>10</v>
      </c>
      <c r="C40" s="74">
        <v>102</v>
      </c>
      <c r="D40" s="99" t="s">
        <v>86</v>
      </c>
      <c r="E40" s="100" t="s">
        <v>80</v>
      </c>
      <c r="F40" s="171">
        <v>0.56000000000000005</v>
      </c>
      <c r="G40" s="129">
        <v>45400</v>
      </c>
      <c r="H40" s="130">
        <f t="shared" ref="H40:H44" si="1">ROUND(F40*G40,2)</f>
        <v>25424</v>
      </c>
      <c r="I40" s="114">
        <v>1.0329999999999999</v>
      </c>
      <c r="J40" s="102"/>
    </row>
    <row r="41" spans="1:13" s="70" customFormat="1" ht="15" x14ac:dyDescent="0.25">
      <c r="A41" s="73" t="s">
        <v>76</v>
      </c>
      <c r="B41" s="98">
        <f t="shared" si="0"/>
        <v>11</v>
      </c>
      <c r="C41" s="74">
        <v>103</v>
      </c>
      <c r="D41" s="99" t="s">
        <v>87</v>
      </c>
      <c r="E41" s="100" t="s">
        <v>80</v>
      </c>
      <c r="F41" s="171">
        <v>1.51</v>
      </c>
      <c r="G41" s="129">
        <v>45400</v>
      </c>
      <c r="H41" s="130">
        <f t="shared" si="1"/>
        <v>68554</v>
      </c>
      <c r="I41" s="114">
        <v>1.0329999999999999</v>
      </c>
      <c r="J41" s="102"/>
    </row>
    <row r="42" spans="1:13" s="70" customFormat="1" ht="15" x14ac:dyDescent="0.25">
      <c r="A42" s="73" t="s">
        <v>76</v>
      </c>
      <c r="B42" s="98">
        <f t="shared" si="0"/>
        <v>12</v>
      </c>
      <c r="C42" s="74">
        <v>104</v>
      </c>
      <c r="D42" s="99" t="s">
        <v>88</v>
      </c>
      <c r="E42" s="100" t="s">
        <v>80</v>
      </c>
      <c r="F42" s="171">
        <v>5.2</v>
      </c>
      <c r="G42" s="129">
        <v>45400</v>
      </c>
      <c r="H42" s="130">
        <f t="shared" si="1"/>
        <v>236080</v>
      </c>
      <c r="I42" s="114">
        <v>1.0329999999999999</v>
      </c>
      <c r="J42" s="102"/>
      <c r="K42" s="70">
        <f>78.5*K43</f>
        <v>353.25</v>
      </c>
    </row>
    <row r="43" spans="1:13" s="70" customFormat="1" ht="31.5" customHeight="1" x14ac:dyDescent="0.25">
      <c r="A43" s="73" t="s">
        <v>76</v>
      </c>
      <c r="B43" s="98">
        <f t="shared" si="0"/>
        <v>13</v>
      </c>
      <c r="C43" s="74">
        <v>105</v>
      </c>
      <c r="D43" s="99" t="s">
        <v>89</v>
      </c>
      <c r="E43" s="100" t="s">
        <v>80</v>
      </c>
      <c r="F43" s="128">
        <v>0.13</v>
      </c>
      <c r="G43" s="129">
        <f>ROUND(23052/0.35325,2)</f>
        <v>65256.9</v>
      </c>
      <c r="H43" s="130">
        <f t="shared" si="1"/>
        <v>8483.4</v>
      </c>
      <c r="I43" s="115">
        <v>1.0329999999999999</v>
      </c>
      <c r="J43" s="98" t="s">
        <v>151</v>
      </c>
      <c r="K43" s="106">
        <f>3*1.5</f>
        <v>4.5</v>
      </c>
      <c r="L43" s="70">
        <f>23052/K42</f>
        <v>65.256900212314221</v>
      </c>
    </row>
    <row r="44" spans="1:13" s="70" customFormat="1" ht="15" x14ac:dyDescent="0.25">
      <c r="A44" s="73" t="s">
        <v>76</v>
      </c>
      <c r="B44" s="98">
        <f t="shared" si="0"/>
        <v>14</v>
      </c>
      <c r="C44" s="74">
        <v>106</v>
      </c>
      <c r="D44" s="99" t="s">
        <v>90</v>
      </c>
      <c r="E44" s="100" t="s">
        <v>80</v>
      </c>
      <c r="F44" s="128">
        <v>0.08</v>
      </c>
      <c r="G44" s="129">
        <f>ROUND(489/0.0058,2)</f>
        <v>84310.34</v>
      </c>
      <c r="H44" s="130">
        <f t="shared" si="1"/>
        <v>6744.83</v>
      </c>
      <c r="I44" s="114">
        <v>1.0329999999999999</v>
      </c>
      <c r="J44" s="102" t="s">
        <v>152</v>
      </c>
      <c r="K44" s="159">
        <f>489/5.8</f>
        <v>84.310344827586206</v>
      </c>
    </row>
    <row r="45" spans="1:13" s="33" customFormat="1" ht="15.6" customHeight="1" x14ac:dyDescent="0.25">
      <c r="A45" s="34"/>
      <c r="B45" s="81"/>
      <c r="C45" s="91"/>
      <c r="D45" s="174" t="s">
        <v>49</v>
      </c>
      <c r="E45" s="175"/>
      <c r="F45" s="175"/>
      <c r="G45" s="175"/>
      <c r="H45" s="104">
        <f>SUM(H30:H44)</f>
        <v>6257958.3100000005</v>
      </c>
      <c r="I45" s="104"/>
      <c r="J45" s="161"/>
      <c r="K45" s="163">
        <f>H44+H43+H42+H41+H40+H39+H37+H34+H33+H32</f>
        <v>2816688.81</v>
      </c>
      <c r="L45" s="164" t="s">
        <v>141</v>
      </c>
      <c r="M45" s="70"/>
    </row>
    <row r="46" spans="1:13" s="15" customFormat="1" ht="17.25" customHeight="1" x14ac:dyDescent="0.25">
      <c r="A46" s="35"/>
      <c r="B46" s="81"/>
      <c r="C46" s="52"/>
      <c r="D46" s="176" t="s">
        <v>55</v>
      </c>
      <c r="E46" s="177"/>
      <c r="F46" s="177"/>
      <c r="G46" s="177"/>
      <c r="H46" s="105">
        <f>ROUND(H45/120*20,2)</f>
        <v>1042993.05</v>
      </c>
      <c r="I46" s="105"/>
      <c r="J46" s="162"/>
      <c r="K46" s="165">
        <f>H33+H40+H41+H42+H43+H44</f>
        <v>1223812.23</v>
      </c>
      <c r="L46" s="166" t="s">
        <v>142</v>
      </c>
      <c r="M46" s="70"/>
    </row>
    <row r="47" spans="1:13" s="15" customFormat="1" ht="17.25" customHeight="1" x14ac:dyDescent="0.25">
      <c r="A47" s="17"/>
      <c r="B47" s="82"/>
      <c r="C47" s="82"/>
      <c r="D47" s="83"/>
      <c r="E47" s="84"/>
      <c r="F47" s="85"/>
      <c r="G47" s="86"/>
      <c r="H47" s="87"/>
      <c r="I47" s="87"/>
      <c r="J47" s="16"/>
      <c r="K47" s="165">
        <f>H32+H37+H39</f>
        <v>1556784.98</v>
      </c>
      <c r="L47" s="166" t="s">
        <v>139</v>
      </c>
      <c r="M47" s="70"/>
    </row>
    <row r="48" spans="1:13" s="15" customFormat="1" ht="16.5" customHeight="1" x14ac:dyDescent="0.25">
      <c r="A48" s="18"/>
      <c r="B48" s="84"/>
      <c r="C48" s="84"/>
      <c r="D48" s="125"/>
      <c r="E48" s="84"/>
      <c r="F48" s="85"/>
      <c r="G48" s="86"/>
      <c r="H48" s="87"/>
      <c r="I48" s="87"/>
      <c r="J48" s="16"/>
      <c r="K48" s="165">
        <f>H34</f>
        <v>36091.599999999999</v>
      </c>
      <c r="L48" s="166" t="s">
        <v>143</v>
      </c>
      <c r="M48" s="70"/>
    </row>
    <row r="49" spans="1:13" s="15" customFormat="1" ht="15" customHeight="1" x14ac:dyDescent="0.25">
      <c r="A49" s="67"/>
      <c r="B49" s="124" t="s">
        <v>47</v>
      </c>
      <c r="C49" s="124"/>
      <c r="D49" s="110" t="s">
        <v>44</v>
      </c>
      <c r="E49" s="110"/>
      <c r="F49" s="110"/>
      <c r="G49" s="110"/>
      <c r="H49" s="133" t="s">
        <v>41</v>
      </c>
      <c r="I49" s="79"/>
      <c r="J49" s="16"/>
      <c r="K49" s="167">
        <f>H38+H36+H31+H30</f>
        <v>3441269.5</v>
      </c>
      <c r="L49" s="164" t="s">
        <v>144</v>
      </c>
      <c r="M49" s="70"/>
    </row>
    <row r="50" spans="1:13" ht="15" x14ac:dyDescent="0.25">
      <c r="A50" s="15"/>
      <c r="B50" s="15"/>
      <c r="C50" s="15"/>
      <c r="D50" s="36" t="s">
        <v>39</v>
      </c>
      <c r="E50" s="50"/>
      <c r="F50" s="19" t="s">
        <v>48</v>
      </c>
      <c r="H50" s="19" t="s">
        <v>40</v>
      </c>
      <c r="I50" s="36"/>
      <c r="K50" s="160">
        <f>K46+K47+K48+K49</f>
        <v>6257958.3100000005</v>
      </c>
      <c r="L50" s="75">
        <f>K50-H45</f>
        <v>0</v>
      </c>
      <c r="M50" s="70"/>
    </row>
    <row r="51" spans="1:13" ht="12" customHeight="1" x14ac:dyDescent="0.25">
      <c r="A51" s="15"/>
      <c r="B51" s="15"/>
      <c r="C51" s="15"/>
      <c r="D51" s="150" t="s">
        <v>25</v>
      </c>
      <c r="E51" s="21"/>
      <c r="F51" s="21"/>
      <c r="G51" s="20"/>
      <c r="H51" s="15"/>
      <c r="I51" s="15"/>
      <c r="M51" s="70"/>
    </row>
    <row r="52" spans="1:13" ht="37.5" customHeight="1" x14ac:dyDescent="0.2">
      <c r="A52" s="124"/>
      <c r="B52" s="124" t="s">
        <v>46</v>
      </c>
      <c r="C52" s="124"/>
      <c r="D52" s="109" t="s">
        <v>72</v>
      </c>
      <c r="E52" s="110"/>
      <c r="F52" s="110"/>
      <c r="G52" s="134"/>
      <c r="H52" s="133" t="s">
        <v>69</v>
      </c>
      <c r="I52" s="79"/>
    </row>
    <row r="53" spans="1:13" ht="15" x14ac:dyDescent="0.25">
      <c r="A53" s="15"/>
      <c r="B53" s="15"/>
      <c r="C53" s="15"/>
      <c r="D53" s="36" t="s">
        <v>39</v>
      </c>
      <c r="E53" s="49"/>
      <c r="F53" s="19" t="s">
        <v>48</v>
      </c>
      <c r="H53" s="36" t="s">
        <v>40</v>
      </c>
      <c r="I53" s="36"/>
    </row>
    <row r="54" spans="1:13" ht="15" x14ac:dyDescent="0.25">
      <c r="A54" s="15"/>
      <c r="B54" s="15"/>
      <c r="C54" s="15"/>
      <c r="D54" s="150" t="s">
        <v>25</v>
      </c>
      <c r="E54" s="21"/>
      <c r="F54" s="21"/>
      <c r="G54" s="20"/>
      <c r="H54" s="15"/>
      <c r="I54" s="15"/>
    </row>
    <row r="55" spans="1:13" ht="21" customHeight="1" x14ac:dyDescent="0.2">
      <c r="A55" s="124"/>
      <c r="B55" s="124" t="s">
        <v>112</v>
      </c>
      <c r="C55" s="124"/>
      <c r="D55" s="110" t="s">
        <v>70</v>
      </c>
      <c r="E55" s="110"/>
      <c r="F55" s="110"/>
      <c r="G55" s="134"/>
      <c r="H55" s="133" t="s">
        <v>71</v>
      </c>
      <c r="I55" s="79"/>
    </row>
    <row r="56" spans="1:13" x14ac:dyDescent="0.2">
      <c r="D56" s="36" t="s">
        <v>39</v>
      </c>
      <c r="E56" s="49"/>
      <c r="F56" s="19" t="s">
        <v>48</v>
      </c>
      <c r="H56" s="36" t="s">
        <v>40</v>
      </c>
      <c r="I56" s="36"/>
    </row>
    <row r="57" spans="1:13" x14ac:dyDescent="0.2">
      <c r="D57" s="150" t="s">
        <v>25</v>
      </c>
    </row>
    <row r="68" spans="6:7" x14ac:dyDescent="0.2">
      <c r="F68" s="22"/>
      <c r="G68" s="22"/>
    </row>
  </sheetData>
  <mergeCells count="17">
    <mergeCell ref="D7:H7"/>
    <mergeCell ref="D9:H9"/>
    <mergeCell ref="D11:H11"/>
    <mergeCell ref="D8:F8"/>
    <mergeCell ref="D10:F10"/>
    <mergeCell ref="D45:G45"/>
    <mergeCell ref="D46:G46"/>
    <mergeCell ref="C25:J25"/>
    <mergeCell ref="A9:C9"/>
    <mergeCell ref="H21:H22"/>
    <mergeCell ref="I21:J21"/>
    <mergeCell ref="D13:F13"/>
    <mergeCell ref="D12:F12"/>
    <mergeCell ref="D14:F14"/>
    <mergeCell ref="D16:E16"/>
    <mergeCell ref="G21:G22"/>
    <mergeCell ref="D15:F15"/>
  </mergeCells>
  <phoneticPr fontId="10" type="noConversion"/>
  <dataValidations count="1">
    <dataValidation type="decimal" operator="greaterThan" allowBlank="1" showInputMessage="1" showErrorMessage="1" errorTitle="Неверный формат" error="В этой ячейке должно быть число больше 0. Текст можно указать в примечании." sqref="G36:G44" xr:uid="{1EF664CC-BBDD-4B89-A76C-980D00CA604E}">
      <formula1>0</formula1>
    </dataValidation>
  </dataValidations>
  <printOptions horizontalCentered="1"/>
  <pageMargins left="0.59055118110236227" right="0.19685039370078741" top="0.39370078740157483" bottom="0" header="0" footer="0"/>
  <pageSetup paperSize="9"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C1BF-009E-4AFC-97C6-52B1D3C198DE}">
  <sheetPr>
    <pageSetUpPr fitToPage="1"/>
  </sheetPr>
  <dimension ref="A1:L46"/>
  <sheetViews>
    <sheetView view="pageBreakPreview" topLeftCell="A4" zoomScaleNormal="100" zoomScaleSheetLayoutView="100" workbookViewId="0">
      <selection activeCell="I13" sqref="I13"/>
    </sheetView>
  </sheetViews>
  <sheetFormatPr defaultRowHeight="12.75" x14ac:dyDescent="0.2"/>
  <cols>
    <col min="1" max="1" width="17.83203125" customWidth="1"/>
    <col min="2" max="2" width="54.33203125" customWidth="1"/>
    <col min="3" max="3" width="9.5" customWidth="1"/>
    <col min="4" max="4" width="14.83203125" customWidth="1"/>
    <col min="5" max="5" width="15.1640625" customWidth="1"/>
    <col min="6" max="6" width="14.83203125" customWidth="1"/>
    <col min="7" max="7" width="13.1640625" customWidth="1"/>
    <col min="8" max="8" width="19.6640625" customWidth="1"/>
    <col min="9" max="9" width="13.6640625" customWidth="1"/>
    <col min="10" max="10" width="19.5" customWidth="1"/>
    <col min="11" max="11" width="13.1640625" customWidth="1"/>
    <col min="13" max="13" width="13.1640625" customWidth="1"/>
    <col min="14" max="14" width="11.83203125" customWidth="1"/>
    <col min="16" max="16" width="13.1640625" bestFit="1" customWidth="1"/>
  </cols>
  <sheetData>
    <row r="1" spans="1:6" x14ac:dyDescent="0.2">
      <c r="A1" s="1"/>
      <c r="B1" s="1"/>
      <c r="D1" s="1"/>
      <c r="E1" s="1"/>
      <c r="F1" s="2" t="s">
        <v>0</v>
      </c>
    </row>
    <row r="2" spans="1:6" x14ac:dyDescent="0.2">
      <c r="A2" s="1"/>
      <c r="B2" s="1"/>
      <c r="D2" s="1"/>
      <c r="E2" s="1"/>
      <c r="F2" s="2" t="s">
        <v>1</v>
      </c>
    </row>
    <row r="3" spans="1:6" x14ac:dyDescent="0.2">
      <c r="A3" s="1"/>
      <c r="B3" s="1"/>
      <c r="D3" s="1"/>
      <c r="E3" s="1"/>
      <c r="F3" s="2" t="s">
        <v>2</v>
      </c>
    </row>
    <row r="4" spans="1:6" ht="13.5" thickBot="1" x14ac:dyDescent="0.25">
      <c r="A4" s="1"/>
      <c r="B4" s="1"/>
      <c r="C4" s="1"/>
      <c r="D4" s="1"/>
      <c r="E4" s="198" t="s">
        <v>3</v>
      </c>
      <c r="F4" s="198"/>
    </row>
    <row r="5" spans="1:6" x14ac:dyDescent="0.2">
      <c r="A5" s="1"/>
      <c r="B5" s="1"/>
      <c r="C5" s="1"/>
      <c r="D5" s="2" t="s">
        <v>4</v>
      </c>
      <c r="E5" s="199" t="s">
        <v>5</v>
      </c>
      <c r="F5" s="200"/>
    </row>
    <row r="6" spans="1:6" s="45" customFormat="1" ht="43.5" customHeight="1" x14ac:dyDescent="0.2">
      <c r="A6" s="215" t="s">
        <v>91</v>
      </c>
      <c r="B6" s="215"/>
      <c r="C6" s="215"/>
      <c r="D6" s="46" t="s">
        <v>6</v>
      </c>
      <c r="E6" s="201">
        <v>74641884</v>
      </c>
      <c r="F6" s="202"/>
    </row>
    <row r="7" spans="1:6" s="45" customFormat="1" ht="30" customHeight="1" x14ac:dyDescent="0.2">
      <c r="A7" s="203" t="s">
        <v>92</v>
      </c>
      <c r="B7" s="203"/>
      <c r="C7" s="203"/>
      <c r="D7" s="46" t="s">
        <v>6</v>
      </c>
      <c r="E7" s="204" t="s">
        <v>68</v>
      </c>
      <c r="F7" s="205"/>
    </row>
    <row r="8" spans="1:6" ht="40.5" customHeight="1" x14ac:dyDescent="0.2">
      <c r="A8" s="206" t="s">
        <v>93</v>
      </c>
      <c r="B8" s="206"/>
      <c r="C8" s="206"/>
      <c r="D8" s="2" t="s">
        <v>6</v>
      </c>
      <c r="E8" s="207">
        <v>47810841</v>
      </c>
      <c r="F8" s="208"/>
    </row>
    <row r="9" spans="1:6" ht="33" customHeight="1" x14ac:dyDescent="0.2">
      <c r="A9" s="206" t="s">
        <v>94</v>
      </c>
      <c r="B9" s="206"/>
      <c r="C9" s="206"/>
      <c r="D9" s="2" t="s">
        <v>6</v>
      </c>
      <c r="E9" s="209"/>
      <c r="F9" s="210"/>
    </row>
    <row r="10" spans="1:6" ht="15.75" x14ac:dyDescent="0.2">
      <c r="A10" s="3"/>
      <c r="B10" s="1"/>
      <c r="C10" s="1"/>
      <c r="D10" s="2" t="s">
        <v>7</v>
      </c>
      <c r="E10" s="209"/>
      <c r="F10" s="210"/>
    </row>
    <row r="11" spans="1:6" x14ac:dyDescent="0.2">
      <c r="A11" s="1"/>
      <c r="B11" s="1"/>
      <c r="C11" s="2" t="s">
        <v>8</v>
      </c>
      <c r="D11" s="4" t="s">
        <v>9</v>
      </c>
      <c r="E11" s="211" t="s">
        <v>63</v>
      </c>
      <c r="F11" s="212"/>
    </row>
    <row r="12" spans="1:6" x14ac:dyDescent="0.2">
      <c r="A12" s="1"/>
      <c r="B12" s="1"/>
      <c r="C12" s="1"/>
      <c r="D12" s="5" t="s">
        <v>10</v>
      </c>
      <c r="E12" s="213" t="s">
        <v>64</v>
      </c>
      <c r="F12" s="214"/>
    </row>
    <row r="13" spans="1:6" ht="13.5" thickBot="1" x14ac:dyDescent="0.25">
      <c r="A13" s="1"/>
      <c r="B13" s="1"/>
      <c r="C13" s="1"/>
      <c r="D13" s="2" t="s">
        <v>11</v>
      </c>
      <c r="E13" s="196"/>
      <c r="F13" s="197"/>
    </row>
    <row r="14" spans="1:6" ht="13.5" customHeight="1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90" t="s">
        <v>12</v>
      </c>
      <c r="D15" s="192" t="s">
        <v>13</v>
      </c>
      <c r="E15" s="194" t="s">
        <v>14</v>
      </c>
      <c r="F15" s="194"/>
    </row>
    <row r="16" spans="1:6" x14ac:dyDescent="0.2">
      <c r="A16" s="1"/>
      <c r="B16" s="1"/>
      <c r="C16" s="191"/>
      <c r="D16" s="193"/>
      <c r="E16" s="7" t="s">
        <v>15</v>
      </c>
      <c r="F16" s="7" t="s">
        <v>16</v>
      </c>
    </row>
    <row r="17" spans="1:11" ht="15.75" x14ac:dyDescent="0.25">
      <c r="A17" s="1"/>
      <c r="B17" s="8" t="s">
        <v>17</v>
      </c>
      <c r="C17" s="152" t="s">
        <v>37</v>
      </c>
      <c r="D17" s="153">
        <f>'КС-2 №1'!H23</f>
        <v>45961</v>
      </c>
      <c r="E17" s="153" t="s">
        <v>64</v>
      </c>
      <c r="F17" s="153">
        <f>D17</f>
        <v>45961</v>
      </c>
    </row>
    <row r="18" spans="1:11" ht="14.25" x14ac:dyDescent="0.2">
      <c r="A18" s="195" t="s">
        <v>18</v>
      </c>
      <c r="B18" s="195"/>
      <c r="C18" s="195"/>
      <c r="D18" s="195"/>
      <c r="E18" s="195"/>
      <c r="F18" s="195"/>
    </row>
    <row r="19" spans="1:11" ht="12.75" customHeight="1" x14ac:dyDescent="0.2">
      <c r="A19" s="1"/>
      <c r="B19" s="1"/>
      <c r="C19" s="1"/>
      <c r="D19" s="1"/>
      <c r="E19" s="1"/>
      <c r="F19" s="1"/>
    </row>
    <row r="20" spans="1:11" x14ac:dyDescent="0.2">
      <c r="A20" s="192" t="s">
        <v>117</v>
      </c>
      <c r="B20" s="192" t="s">
        <v>19</v>
      </c>
      <c r="C20" s="194" t="s">
        <v>3</v>
      </c>
      <c r="D20" s="192" t="s">
        <v>20</v>
      </c>
      <c r="E20" s="194"/>
      <c r="F20" s="194"/>
    </row>
    <row r="21" spans="1:11" ht="57.75" customHeight="1" x14ac:dyDescent="0.2">
      <c r="A21" s="192"/>
      <c r="B21" s="192"/>
      <c r="C21" s="194"/>
      <c r="D21" s="6" t="s">
        <v>21</v>
      </c>
      <c r="E21" s="6" t="s">
        <v>22</v>
      </c>
      <c r="F21" s="6" t="s">
        <v>23</v>
      </c>
    </row>
    <row r="22" spans="1:11" x14ac:dyDescent="0.2">
      <c r="A22" s="9">
        <v>1</v>
      </c>
      <c r="B22" s="9">
        <v>2</v>
      </c>
      <c r="C22" s="9">
        <v>3</v>
      </c>
      <c r="D22" s="9">
        <v>4</v>
      </c>
      <c r="E22" s="9">
        <v>5</v>
      </c>
      <c r="F22" s="9">
        <v>6</v>
      </c>
    </row>
    <row r="23" spans="1:11" ht="27" customHeight="1" x14ac:dyDescent="0.2">
      <c r="A23" s="37">
        <v>1</v>
      </c>
      <c r="B23" s="55" t="s">
        <v>24</v>
      </c>
      <c r="C23" s="56"/>
      <c r="D23" s="29">
        <f>D25</f>
        <v>5214965.2600000007</v>
      </c>
      <c r="E23" s="29">
        <f t="shared" ref="E23" si="0">E25</f>
        <v>5214965.2600000007</v>
      </c>
      <c r="F23" s="29">
        <f>F25</f>
        <v>5214965.2600000007</v>
      </c>
      <c r="J23" s="154"/>
      <c r="K23" s="1"/>
    </row>
    <row r="24" spans="1:11" ht="17.25" customHeight="1" x14ac:dyDescent="0.2">
      <c r="A24" s="37"/>
      <c r="B24" s="55" t="s">
        <v>116</v>
      </c>
      <c r="C24" s="56"/>
      <c r="D24" s="29"/>
      <c r="E24" s="60"/>
      <c r="F24" s="29"/>
      <c r="J24" s="154"/>
      <c r="K24" s="1"/>
    </row>
    <row r="25" spans="1:11" ht="48.75" customHeight="1" x14ac:dyDescent="0.2">
      <c r="A25" s="37">
        <v>2</v>
      </c>
      <c r="B25" s="12" t="s">
        <v>118</v>
      </c>
      <c r="C25" s="13"/>
      <c r="D25" s="27">
        <f>F25</f>
        <v>5214965.2600000007</v>
      </c>
      <c r="E25" s="61">
        <f>F25</f>
        <v>5214965.2600000007</v>
      </c>
      <c r="F25" s="27">
        <f>'КС-2 №1'!H45-'КС-2 №1'!H46</f>
        <v>5214965.2600000007</v>
      </c>
    </row>
    <row r="26" spans="1:11" s="14" customFormat="1" x14ac:dyDescent="0.2">
      <c r="B26" s="24"/>
      <c r="D26" s="25"/>
      <c r="E26" s="30" t="s">
        <v>52</v>
      </c>
      <c r="F26" s="27">
        <f>F25</f>
        <v>5214965.2600000007</v>
      </c>
    </row>
    <row r="27" spans="1:11" x14ac:dyDescent="0.2">
      <c r="A27" s="1"/>
      <c r="B27" s="2"/>
      <c r="C27" s="1"/>
      <c r="D27" s="26"/>
      <c r="E27" s="30" t="s">
        <v>53</v>
      </c>
      <c r="F27" s="28">
        <f>F26*20%</f>
        <v>1042993.0520000001</v>
      </c>
      <c r="G27" s="10"/>
    </row>
    <row r="28" spans="1:11" x14ac:dyDescent="0.2">
      <c r="A28" s="1"/>
      <c r="B28" s="2"/>
      <c r="C28" s="1"/>
      <c r="D28" s="26"/>
      <c r="E28" s="30" t="s">
        <v>54</v>
      </c>
      <c r="F28" s="29">
        <f>F26+F27</f>
        <v>6257958.3120000008</v>
      </c>
      <c r="G28" s="10"/>
      <c r="I28" s="10"/>
    </row>
    <row r="29" spans="1:11" ht="15" customHeight="1" x14ac:dyDescent="0.2">
      <c r="A29" s="1"/>
      <c r="B29" s="2"/>
      <c r="C29" s="1"/>
      <c r="D29" s="1"/>
      <c r="E29" s="1"/>
      <c r="F29" s="1"/>
    </row>
    <row r="30" spans="1:11" ht="38.25" x14ac:dyDescent="0.2">
      <c r="A30" s="57" t="s">
        <v>62</v>
      </c>
      <c r="B30" s="31" t="s">
        <v>72</v>
      </c>
      <c r="C30" s="11"/>
      <c r="D30" s="11"/>
      <c r="E30" s="186" t="s">
        <v>69</v>
      </c>
      <c r="F30" s="189"/>
    </row>
    <row r="31" spans="1:11" ht="14.25" customHeight="1" x14ac:dyDescent="0.2">
      <c r="A31" s="38"/>
      <c r="B31" s="58" t="s">
        <v>95</v>
      </c>
      <c r="C31" s="187" t="s">
        <v>96</v>
      </c>
      <c r="D31" s="187"/>
      <c r="E31" s="188" t="s">
        <v>97</v>
      </c>
      <c r="F31" s="188"/>
    </row>
    <row r="32" spans="1:11" x14ac:dyDescent="0.2">
      <c r="A32" s="38"/>
      <c r="B32" s="150" t="s">
        <v>25</v>
      </c>
      <c r="C32" s="1"/>
      <c r="D32" s="1"/>
      <c r="E32" s="1"/>
      <c r="F32" s="1"/>
    </row>
    <row r="33" spans="1:12" ht="16.5" customHeight="1" x14ac:dyDescent="0.2">
      <c r="A33" s="38"/>
      <c r="B33" s="1"/>
      <c r="C33" s="1"/>
      <c r="D33" s="1"/>
      <c r="E33" s="1"/>
      <c r="F33" s="1"/>
    </row>
    <row r="34" spans="1:12" x14ac:dyDescent="0.2">
      <c r="A34" s="38"/>
      <c r="B34" s="1"/>
      <c r="C34" s="1"/>
      <c r="D34" s="1"/>
      <c r="E34" s="1"/>
      <c r="F34" s="1"/>
      <c r="L34" s="10"/>
    </row>
    <row r="35" spans="1:12" ht="25.5" x14ac:dyDescent="0.2">
      <c r="A35" s="57" t="s">
        <v>65</v>
      </c>
      <c r="B35" s="118" t="s">
        <v>70</v>
      </c>
      <c r="E35" s="186" t="s">
        <v>71</v>
      </c>
      <c r="F35" s="186"/>
      <c r="L35" s="10"/>
    </row>
    <row r="36" spans="1:12" ht="12.75" customHeight="1" x14ac:dyDescent="0.2">
      <c r="A36" s="38"/>
      <c r="B36" s="58" t="s">
        <v>95</v>
      </c>
      <c r="C36" s="187" t="s">
        <v>96</v>
      </c>
      <c r="D36" s="187"/>
      <c r="E36" s="188" t="s">
        <v>97</v>
      </c>
      <c r="F36" s="188"/>
      <c r="L36" s="10"/>
    </row>
    <row r="37" spans="1:12" x14ac:dyDescent="0.2">
      <c r="A37" s="1"/>
      <c r="B37" s="150" t="s">
        <v>25</v>
      </c>
      <c r="I37" s="10"/>
    </row>
    <row r="38" spans="1:12" x14ac:dyDescent="0.2">
      <c r="A38" s="1"/>
      <c r="B38" s="1"/>
      <c r="C38" s="1"/>
      <c r="D38" s="1"/>
      <c r="E38" s="1"/>
      <c r="F38" s="1"/>
      <c r="I38" s="10"/>
    </row>
    <row r="39" spans="1:12" x14ac:dyDescent="0.2">
      <c r="I39" s="10"/>
      <c r="J39" s="10"/>
    </row>
    <row r="40" spans="1:12" x14ac:dyDescent="0.2">
      <c r="A40" s="119" t="s">
        <v>75</v>
      </c>
      <c r="B40" s="118" t="s">
        <v>44</v>
      </c>
      <c r="C40" s="62"/>
      <c r="D40" s="59"/>
      <c r="E40" s="186" t="s">
        <v>42</v>
      </c>
      <c r="F40" s="186"/>
      <c r="I40" s="10"/>
      <c r="J40" s="10"/>
    </row>
    <row r="41" spans="1:12" ht="13.5" customHeight="1" x14ac:dyDescent="0.2">
      <c r="B41" s="58" t="s">
        <v>95</v>
      </c>
      <c r="C41" s="187" t="s">
        <v>96</v>
      </c>
      <c r="D41" s="187"/>
      <c r="E41" s="188" t="s">
        <v>97</v>
      </c>
      <c r="F41" s="188"/>
      <c r="J41" s="10"/>
    </row>
    <row r="42" spans="1:12" x14ac:dyDescent="0.2">
      <c r="B42" s="150" t="s">
        <v>25</v>
      </c>
      <c r="C42" s="1"/>
      <c r="D42" s="1"/>
      <c r="E42" s="1"/>
      <c r="F42" s="1"/>
    </row>
    <row r="44" spans="1:12" x14ac:dyDescent="0.2">
      <c r="I44" s="10"/>
      <c r="J44" s="10"/>
    </row>
    <row r="45" spans="1:12" x14ac:dyDescent="0.2">
      <c r="I45" s="10"/>
      <c r="J45" s="10"/>
    </row>
    <row r="46" spans="1:12" x14ac:dyDescent="0.2">
      <c r="J46" s="10"/>
    </row>
  </sheetData>
  <mergeCells count="31">
    <mergeCell ref="E13:F13"/>
    <mergeCell ref="E4:F4"/>
    <mergeCell ref="E5:F5"/>
    <mergeCell ref="E6:F6"/>
    <mergeCell ref="A7:C7"/>
    <mergeCell ref="E7:F7"/>
    <mergeCell ref="A8:C8"/>
    <mergeCell ref="E8:F8"/>
    <mergeCell ref="A9:C9"/>
    <mergeCell ref="E9:F9"/>
    <mergeCell ref="E10:F10"/>
    <mergeCell ref="E11:F11"/>
    <mergeCell ref="E12:F12"/>
    <mergeCell ref="A6:C6"/>
    <mergeCell ref="E30:F30"/>
    <mergeCell ref="C36:D36"/>
    <mergeCell ref="E36:F36"/>
    <mergeCell ref="E35:F35"/>
    <mergeCell ref="C15:C16"/>
    <mergeCell ref="D15:D16"/>
    <mergeCell ref="E15:F15"/>
    <mergeCell ref="A18:F18"/>
    <mergeCell ref="A20:A21"/>
    <mergeCell ref="B20:B21"/>
    <mergeCell ref="C20:C21"/>
    <mergeCell ref="D20:F20"/>
    <mergeCell ref="E40:F40"/>
    <mergeCell ref="C41:D41"/>
    <mergeCell ref="E41:F41"/>
    <mergeCell ref="C31:D31"/>
    <mergeCell ref="E31:F31"/>
  </mergeCells>
  <pageMargins left="0.55118110236220474" right="0.27559055118110237" top="0.6692913385826772" bottom="0.62992125984251968" header="0.51181102362204722" footer="0.51181102362204722"/>
  <pageSetup paperSize="9" scale="83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22CDF-2526-4B7D-B89C-2C5DDCE36D83}">
  <dimension ref="A1:P65"/>
  <sheetViews>
    <sheetView tabSelected="1" view="pageBreakPreview" zoomScaleNormal="100" zoomScaleSheetLayoutView="100" workbookViewId="0">
      <pane ySplit="6" topLeftCell="A10" activePane="bottomLeft" state="frozen"/>
      <selection pane="bottomLeft" activeCell="P22" sqref="P22"/>
    </sheetView>
  </sheetViews>
  <sheetFormatPr defaultRowHeight="12.75" x14ac:dyDescent="0.2"/>
  <cols>
    <col min="1" max="1" width="43.83203125" style="1" customWidth="1"/>
    <col min="2" max="2" width="14.5" style="1" customWidth="1"/>
    <col min="3" max="3" width="15.83203125" style="1" customWidth="1"/>
    <col min="4" max="4" width="16.83203125" style="1" customWidth="1"/>
    <col min="5" max="5" width="21.33203125" style="1" customWidth="1"/>
    <col min="6" max="6" width="17.5" style="1" customWidth="1"/>
    <col min="7" max="7" width="14.6640625" style="1" customWidth="1"/>
    <col min="8" max="8" width="14.83203125" style="1" customWidth="1"/>
    <col min="9" max="9" width="14.33203125" style="1" customWidth="1"/>
    <col min="10" max="10" width="14.1640625" style="1" customWidth="1"/>
    <col min="11" max="11" width="9.33203125" style="1"/>
    <col min="12" max="12" width="14" style="1" bestFit="1" customWidth="1"/>
    <col min="13" max="13" width="9.33203125" style="1"/>
    <col min="14" max="14" width="15.6640625" style="1" customWidth="1"/>
    <col min="15" max="15" width="18" style="1" customWidth="1"/>
    <col min="16" max="16" width="18.5" style="1" customWidth="1"/>
    <col min="17" max="16384" width="9.33203125" style="1"/>
  </cols>
  <sheetData>
    <row r="1" spans="1:16" x14ac:dyDescent="0.2">
      <c r="A1" s="217" t="s">
        <v>134</v>
      </c>
      <c r="B1" s="217"/>
      <c r="C1" s="217"/>
      <c r="D1" s="217"/>
      <c r="E1" s="217"/>
      <c r="F1" s="217"/>
      <c r="G1" s="217"/>
      <c r="H1" s="217"/>
      <c r="I1" s="217"/>
      <c r="J1" s="217"/>
    </row>
    <row r="2" spans="1:16" x14ac:dyDescent="0.2">
      <c r="A2" s="218" t="s">
        <v>129</v>
      </c>
      <c r="B2" s="218"/>
      <c r="C2" s="218"/>
      <c r="D2" s="218"/>
      <c r="E2" s="218"/>
      <c r="F2" s="218"/>
      <c r="G2" s="218"/>
      <c r="H2" s="218"/>
      <c r="I2" s="218"/>
      <c r="J2" s="218"/>
    </row>
    <row r="3" spans="1:16" x14ac:dyDescent="0.2">
      <c r="A3" s="221" t="s">
        <v>130</v>
      </c>
      <c r="B3" s="221"/>
      <c r="C3" s="221"/>
      <c r="D3" s="221"/>
      <c r="E3" s="221"/>
      <c r="F3" s="221"/>
      <c r="G3" s="221"/>
      <c r="H3" s="221"/>
      <c r="I3" s="221"/>
      <c r="J3" s="221"/>
      <c r="K3" s="65"/>
    </row>
    <row r="4" spans="1:16" ht="14.25" customHeight="1" x14ac:dyDescent="0.2">
      <c r="A4" s="227" t="s">
        <v>98</v>
      </c>
      <c r="B4" s="227" t="s">
        <v>120</v>
      </c>
      <c r="C4" s="227" t="s">
        <v>121</v>
      </c>
      <c r="D4" s="227" t="s">
        <v>99</v>
      </c>
      <c r="E4" s="227"/>
      <c r="F4" s="227"/>
      <c r="G4" s="227"/>
      <c r="H4" s="227"/>
      <c r="I4" s="225" t="s">
        <v>126</v>
      </c>
      <c r="J4" s="225" t="s">
        <v>127</v>
      </c>
      <c r="K4" s="65"/>
    </row>
    <row r="5" spans="1:16" ht="51" x14ac:dyDescent="0.2">
      <c r="A5" s="227"/>
      <c r="B5" s="227"/>
      <c r="C5" s="227"/>
      <c r="D5" s="135" t="s">
        <v>122</v>
      </c>
      <c r="E5" s="135" t="s">
        <v>100</v>
      </c>
      <c r="F5" s="135" t="s">
        <v>123</v>
      </c>
      <c r="G5" s="135" t="s">
        <v>124</v>
      </c>
      <c r="H5" s="135" t="s">
        <v>125</v>
      </c>
      <c r="I5" s="226"/>
      <c r="J5" s="226"/>
      <c r="K5" s="65"/>
    </row>
    <row r="6" spans="1:16" x14ac:dyDescent="0.2">
      <c r="A6" s="135">
        <v>1</v>
      </c>
      <c r="B6" s="135">
        <v>2</v>
      </c>
      <c r="C6" s="135">
        <v>3</v>
      </c>
      <c r="D6" s="135">
        <v>4</v>
      </c>
      <c r="E6" s="135">
        <v>5</v>
      </c>
      <c r="F6" s="135">
        <v>6</v>
      </c>
      <c r="G6" s="135">
        <v>7</v>
      </c>
      <c r="H6" s="135">
        <v>8</v>
      </c>
      <c r="I6" s="135">
        <v>9</v>
      </c>
      <c r="J6" s="135">
        <v>10</v>
      </c>
      <c r="K6" s="65"/>
    </row>
    <row r="7" spans="1:16" ht="17.25" customHeight="1" x14ac:dyDescent="0.2">
      <c r="A7" s="136" t="s">
        <v>101</v>
      </c>
      <c r="B7" s="6"/>
      <c r="C7" s="137"/>
      <c r="D7" s="137"/>
      <c r="E7" s="137"/>
      <c r="F7" s="137"/>
      <c r="G7" s="137"/>
      <c r="H7" s="137"/>
      <c r="I7" s="136"/>
      <c r="J7" s="136"/>
      <c r="K7" s="65"/>
    </row>
    <row r="8" spans="1:16" ht="30" customHeight="1" x14ac:dyDescent="0.2">
      <c r="A8" s="223" t="s">
        <v>135</v>
      </c>
      <c r="B8" s="193"/>
      <c r="C8" s="193"/>
      <c r="D8" s="139">
        <v>1956000</v>
      </c>
      <c r="E8" s="139" t="s">
        <v>105</v>
      </c>
      <c r="F8" s="139">
        <v>1956000</v>
      </c>
      <c r="G8" s="141"/>
      <c r="H8" s="139">
        <f t="shared" ref="H8:H10" si="0">F8-G8</f>
        <v>1956000</v>
      </c>
      <c r="I8" s="219">
        <f>ROUND(B8*3%,2)</f>
        <v>0</v>
      </c>
      <c r="J8" s="219">
        <f>B8-G8-G9-I8</f>
        <v>0</v>
      </c>
      <c r="K8" s="65" t="s">
        <v>146</v>
      </c>
    </row>
    <row r="9" spans="1:16" ht="31.5" customHeight="1" x14ac:dyDescent="0.2">
      <c r="A9" s="224"/>
      <c r="B9" s="222"/>
      <c r="C9" s="222"/>
      <c r="D9" s="139">
        <v>515000</v>
      </c>
      <c r="E9" s="139" t="s">
        <v>104</v>
      </c>
      <c r="F9" s="139">
        <v>515000</v>
      </c>
      <c r="G9" s="141"/>
      <c r="H9" s="139">
        <f t="shared" si="0"/>
        <v>515000</v>
      </c>
      <c r="I9" s="220"/>
      <c r="J9" s="220"/>
      <c r="K9" s="65" t="s">
        <v>145</v>
      </c>
    </row>
    <row r="10" spans="1:16" ht="29.25" customHeight="1" x14ac:dyDescent="0.2">
      <c r="A10" s="148" t="s">
        <v>133</v>
      </c>
      <c r="B10" s="66"/>
      <c r="C10" s="66"/>
      <c r="D10" s="139">
        <v>2433535.48</v>
      </c>
      <c r="E10" s="139" t="s">
        <v>131</v>
      </c>
      <c r="F10" s="139">
        <v>2433535.48</v>
      </c>
      <c r="G10" s="141"/>
      <c r="H10" s="139">
        <f t="shared" si="0"/>
        <v>2433535.48</v>
      </c>
      <c r="I10" s="138">
        <f t="shared" ref="I10" si="1">ROUND(B10*3%,2)</f>
        <v>0</v>
      </c>
      <c r="J10" s="138">
        <f>B10-G10-I10</f>
        <v>0</v>
      </c>
      <c r="K10" s="149" t="s">
        <v>147</v>
      </c>
    </row>
    <row r="11" spans="1:16" ht="62.25" customHeight="1" x14ac:dyDescent="0.2">
      <c r="A11" s="223" t="s">
        <v>128</v>
      </c>
      <c r="B11" s="219">
        <f>'КС-2 №1'!H45</f>
        <v>6257958.3100000005</v>
      </c>
      <c r="C11" s="219">
        <f>'КС-2 №1'!K45</f>
        <v>2816688.81</v>
      </c>
      <c r="D11" s="139">
        <v>5000000</v>
      </c>
      <c r="E11" s="139" t="s">
        <v>136</v>
      </c>
      <c r="F11" s="139">
        <f>D11</f>
        <v>5000000</v>
      </c>
      <c r="G11" s="141">
        <v>1327091.8901539512</v>
      </c>
      <c r="H11" s="139">
        <f>F11-G11</f>
        <v>3672908.109846049</v>
      </c>
      <c r="I11" s="219">
        <f>ROUND(B11*3%,2)</f>
        <v>187738.75</v>
      </c>
      <c r="J11" s="230">
        <f>B11-G11-G12-G13-G14-G15-G16-G17-I11</f>
        <v>1962530.4598460495</v>
      </c>
      <c r="K11" s="149" t="s">
        <v>148</v>
      </c>
      <c r="N11" s="26">
        <f>F12+F11+F16</f>
        <v>50000000</v>
      </c>
      <c r="O11" s="26">
        <v>133374377.69999999</v>
      </c>
    </row>
    <row r="12" spans="1:16" ht="60" customHeight="1" x14ac:dyDescent="0.2">
      <c r="A12" s="228"/>
      <c r="B12" s="229"/>
      <c r="C12" s="229"/>
      <c r="D12" s="139">
        <v>19000000</v>
      </c>
      <c r="E12" s="139" t="s">
        <v>137</v>
      </c>
      <c r="F12" s="139">
        <f t="shared" ref="F12:F17" si="2">D12</f>
        <v>19000000</v>
      </c>
      <c r="G12" s="141"/>
      <c r="H12" s="139">
        <f t="shared" ref="H12:H17" si="3">F12-G12</f>
        <v>19000000</v>
      </c>
      <c r="I12" s="229"/>
      <c r="J12" s="231"/>
      <c r="K12" s="149" t="s">
        <v>148</v>
      </c>
      <c r="N12" s="235">
        <f>N11/O11</f>
        <v>0.3748845982431902</v>
      </c>
      <c r="O12" s="26">
        <f>'КС-2 №1'!K49+'КС-2 №1'!K48</f>
        <v>3477361.1</v>
      </c>
      <c r="P12" s="1">
        <f>N12*O12</f>
        <v>1303609.1189199979</v>
      </c>
    </row>
    <row r="13" spans="1:16" ht="19.5" customHeight="1" x14ac:dyDescent="0.2">
      <c r="A13" s="228"/>
      <c r="B13" s="229"/>
      <c r="C13" s="229"/>
      <c r="D13" s="139">
        <v>25703400</v>
      </c>
      <c r="E13" s="139" t="s">
        <v>108</v>
      </c>
      <c r="F13" s="139">
        <f t="shared" si="2"/>
        <v>25703400</v>
      </c>
      <c r="G13" s="141">
        <f>'КС-2 №1'!K46</f>
        <v>1223812.23</v>
      </c>
      <c r="H13" s="139">
        <f t="shared" si="3"/>
        <v>24479587.77</v>
      </c>
      <c r="I13" s="229"/>
      <c r="J13" s="231"/>
      <c r="K13" s="149" t="s">
        <v>142</v>
      </c>
    </row>
    <row r="14" spans="1:16" ht="19.5" customHeight="1" x14ac:dyDescent="0.2">
      <c r="A14" s="228"/>
      <c r="B14" s="229"/>
      <c r="C14" s="229"/>
      <c r="D14" s="139">
        <v>5000000</v>
      </c>
      <c r="E14" s="139" t="s">
        <v>107</v>
      </c>
      <c r="F14" s="139">
        <f t="shared" si="2"/>
        <v>5000000</v>
      </c>
      <c r="G14" s="141">
        <f>'КС-2 №1'!K47</f>
        <v>1556784.98</v>
      </c>
      <c r="H14" s="139">
        <f t="shared" si="3"/>
        <v>3443215.02</v>
      </c>
      <c r="I14" s="229"/>
      <c r="J14" s="231"/>
      <c r="K14" s="65" t="s">
        <v>139</v>
      </c>
    </row>
    <row r="15" spans="1:16" ht="19.5" customHeight="1" x14ac:dyDescent="0.2">
      <c r="A15" s="228"/>
      <c r="B15" s="229"/>
      <c r="C15" s="229"/>
      <c r="D15" s="139">
        <v>2454614</v>
      </c>
      <c r="E15" s="139" t="s">
        <v>106</v>
      </c>
      <c r="F15" s="139">
        <f t="shared" si="2"/>
        <v>2454614</v>
      </c>
      <c r="G15" s="141"/>
      <c r="H15" s="139">
        <f t="shared" si="3"/>
        <v>2454614</v>
      </c>
      <c r="I15" s="229"/>
      <c r="J15" s="231"/>
      <c r="K15" s="65" t="s">
        <v>140</v>
      </c>
    </row>
    <row r="16" spans="1:16" ht="19.5" customHeight="1" x14ac:dyDescent="0.2">
      <c r="A16" s="228"/>
      <c r="B16" s="229"/>
      <c r="C16" s="229"/>
      <c r="D16" s="139">
        <v>26000000</v>
      </c>
      <c r="E16" s="139" t="s">
        <v>138</v>
      </c>
      <c r="F16" s="139">
        <f t="shared" si="2"/>
        <v>26000000</v>
      </c>
      <c r="G16" s="141"/>
      <c r="H16" s="139">
        <f t="shared" si="3"/>
        <v>26000000</v>
      </c>
      <c r="I16" s="229"/>
      <c r="J16" s="231"/>
      <c r="K16" s="149" t="s">
        <v>148</v>
      </c>
    </row>
    <row r="17" spans="1:13" ht="19.5" customHeight="1" x14ac:dyDescent="0.2">
      <c r="A17" s="224"/>
      <c r="B17" s="220"/>
      <c r="C17" s="220"/>
      <c r="D17" s="139">
        <v>5000032</v>
      </c>
      <c r="E17" s="139" t="s">
        <v>132</v>
      </c>
      <c r="F17" s="139">
        <f t="shared" si="2"/>
        <v>5000032</v>
      </c>
      <c r="G17" s="141"/>
      <c r="H17" s="139">
        <f t="shared" si="3"/>
        <v>5000032</v>
      </c>
      <c r="I17" s="220"/>
      <c r="J17" s="232"/>
      <c r="K17" s="65" t="s">
        <v>139</v>
      </c>
    </row>
    <row r="18" spans="1:13" x14ac:dyDescent="0.2">
      <c r="A18" s="140"/>
      <c r="B18" s="141"/>
      <c r="C18" s="141"/>
      <c r="D18" s="142"/>
      <c r="E18" s="143"/>
      <c r="F18" s="142"/>
      <c r="G18" s="144"/>
      <c r="H18" s="144"/>
      <c r="I18" s="144"/>
      <c r="J18" s="144"/>
      <c r="K18" s="65"/>
    </row>
    <row r="19" spans="1:13" x14ac:dyDescent="0.2">
      <c r="A19" s="145" t="s">
        <v>102</v>
      </c>
      <c r="B19" s="146">
        <f>SUM(B7:B18)</f>
        <v>6257958.3100000005</v>
      </c>
      <c r="C19" s="146">
        <f>SUM(C7:C18)</f>
        <v>2816688.81</v>
      </c>
      <c r="D19" s="146">
        <f>SUM(D7:D18)</f>
        <v>93062581.480000004</v>
      </c>
      <c r="E19" s="147"/>
      <c r="F19" s="146">
        <f>SUM(F7:F18)</f>
        <v>93062581.480000004</v>
      </c>
      <c r="G19" s="146">
        <f>SUM(G7:G18)</f>
        <v>4107689.1001539514</v>
      </c>
      <c r="H19" s="146">
        <f>SUM(H7:H18)</f>
        <v>88954892.379846051</v>
      </c>
      <c r="I19" s="146">
        <f>SUM(I7:I18)</f>
        <v>187738.75</v>
      </c>
      <c r="J19" s="146">
        <f>SUM(J7:J18)</f>
        <v>1962530.4598460495</v>
      </c>
      <c r="K19" s="65"/>
      <c r="L19" s="26"/>
      <c r="M19" s="26"/>
    </row>
    <row r="20" spans="1:13" x14ac:dyDescent="0.2">
      <c r="A20" s="136" t="s">
        <v>103</v>
      </c>
      <c r="B20" s="141">
        <f>ROUND(B19*20/120,2)</f>
        <v>1042993.05</v>
      </c>
      <c r="C20" s="141">
        <f>ROUND(C19*20/120,2)</f>
        <v>469448.14</v>
      </c>
      <c r="D20" s="141">
        <f>ROUND(D19*20/120,2)</f>
        <v>15510430.25</v>
      </c>
      <c r="E20" s="139"/>
      <c r="F20" s="141">
        <f>ROUND(F19*20/120,2)</f>
        <v>15510430.25</v>
      </c>
      <c r="G20" s="141">
        <f>ROUND(G19*20/120,2)</f>
        <v>684614.85</v>
      </c>
      <c r="H20" s="141">
        <f>ROUND(H19*20/120,2)</f>
        <v>14825815.4</v>
      </c>
      <c r="I20" s="141">
        <f>ROUND(I19*20/120,2)</f>
        <v>31289.79</v>
      </c>
      <c r="J20" s="141">
        <f>ROUND(J19*20/120,2)</f>
        <v>327088.40999999997</v>
      </c>
      <c r="K20" s="65"/>
    </row>
    <row r="21" spans="1:13" x14ac:dyDescent="0.2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</row>
    <row r="22" spans="1:13" customFormat="1" ht="39.75" customHeight="1" x14ac:dyDescent="0.2">
      <c r="A22" s="57" t="s">
        <v>62</v>
      </c>
      <c r="B22" s="216" t="s">
        <v>72</v>
      </c>
      <c r="C22" s="216"/>
      <c r="D22" s="216"/>
      <c r="E22" s="118"/>
      <c r="F22" s="118"/>
      <c r="G22" s="186" t="s">
        <v>69</v>
      </c>
      <c r="H22" s="189"/>
    </row>
    <row r="23" spans="1:13" customFormat="1" ht="14.25" customHeight="1" x14ac:dyDescent="0.2">
      <c r="A23" s="38"/>
      <c r="B23" s="58" t="s">
        <v>95</v>
      </c>
      <c r="C23" s="1"/>
      <c r="D23" s="1"/>
      <c r="E23" s="187" t="s">
        <v>96</v>
      </c>
      <c r="F23" s="187"/>
      <c r="G23" s="188" t="s">
        <v>97</v>
      </c>
      <c r="H23" s="188"/>
    </row>
    <row r="24" spans="1:13" customFormat="1" x14ac:dyDescent="0.2">
      <c r="A24" s="38"/>
      <c r="B24" s="150" t="s">
        <v>25</v>
      </c>
      <c r="C24" s="1"/>
      <c r="D24" s="1"/>
      <c r="E24" s="1"/>
      <c r="F24" s="1"/>
      <c r="G24" s="1"/>
      <c r="H24" s="1"/>
    </row>
    <row r="25" spans="1:13" customFormat="1" ht="16.5" customHeight="1" x14ac:dyDescent="0.2">
      <c r="A25" s="38"/>
      <c r="B25" s="1"/>
      <c r="C25" s="1"/>
      <c r="D25" s="1"/>
      <c r="E25" s="1"/>
      <c r="F25" s="1"/>
      <c r="G25" s="1"/>
      <c r="H25" s="1"/>
    </row>
    <row r="26" spans="1:13" customFormat="1" x14ac:dyDescent="0.2">
      <c r="A26" s="38"/>
      <c r="B26" s="1"/>
      <c r="C26" s="1"/>
      <c r="D26" s="1"/>
      <c r="E26" s="1"/>
      <c r="F26" s="1"/>
      <c r="G26" s="1"/>
      <c r="H26" s="1"/>
      <c r="L26" s="10"/>
    </row>
    <row r="27" spans="1:13" customFormat="1" x14ac:dyDescent="0.2">
      <c r="A27" s="57" t="s">
        <v>65</v>
      </c>
      <c r="B27" s="118" t="s">
        <v>70</v>
      </c>
      <c r="C27" s="155"/>
      <c r="D27" s="155"/>
      <c r="E27" s="118"/>
      <c r="F27" s="118"/>
      <c r="G27" s="186" t="s">
        <v>71</v>
      </c>
      <c r="H27" s="186"/>
      <c r="L27" s="10"/>
    </row>
    <row r="28" spans="1:13" customFormat="1" ht="12.75" customHeight="1" x14ac:dyDescent="0.2">
      <c r="A28" s="38"/>
      <c r="B28" s="58" t="s">
        <v>95</v>
      </c>
      <c r="C28" s="1"/>
      <c r="D28" s="1"/>
      <c r="E28" s="233" t="s">
        <v>96</v>
      </c>
      <c r="F28" s="233"/>
      <c r="G28" s="234" t="s">
        <v>97</v>
      </c>
      <c r="H28" s="234"/>
      <c r="L28" s="10"/>
    </row>
    <row r="29" spans="1:13" customFormat="1" x14ac:dyDescent="0.2">
      <c r="A29" s="1"/>
      <c r="B29" s="150" t="s">
        <v>25</v>
      </c>
      <c r="E29" s="1"/>
      <c r="F29" s="1"/>
      <c r="I29" s="10"/>
    </row>
    <row r="30" spans="1:13" customFormat="1" x14ac:dyDescent="0.2">
      <c r="A30" s="1"/>
      <c r="B30" s="1"/>
      <c r="C30" s="1"/>
      <c r="D30" s="1"/>
      <c r="E30" s="1"/>
      <c r="F30" s="1"/>
      <c r="G30" s="1"/>
      <c r="H30" s="1"/>
      <c r="I30" s="10"/>
    </row>
    <row r="31" spans="1:13" customFormat="1" x14ac:dyDescent="0.2">
      <c r="E31" s="1"/>
      <c r="F31" s="1"/>
      <c r="I31" s="10"/>
      <c r="J31" s="10"/>
    </row>
    <row r="32" spans="1:13" customFormat="1" x14ac:dyDescent="0.2">
      <c r="A32" s="119" t="s">
        <v>75</v>
      </c>
      <c r="B32" s="118" t="s">
        <v>44</v>
      </c>
      <c r="C32" s="62"/>
      <c r="D32" s="59"/>
      <c r="E32" s="118"/>
      <c r="F32" s="118"/>
      <c r="G32" s="186" t="s">
        <v>42</v>
      </c>
      <c r="H32" s="186"/>
      <c r="I32" s="10"/>
      <c r="J32" s="10"/>
    </row>
    <row r="33" spans="1:11" customFormat="1" ht="13.5" customHeight="1" x14ac:dyDescent="0.2">
      <c r="B33" s="58" t="s">
        <v>95</v>
      </c>
      <c r="C33" s="1"/>
      <c r="D33" s="1"/>
      <c r="E33" s="187" t="s">
        <v>96</v>
      </c>
      <c r="F33" s="187"/>
      <c r="G33" s="188" t="s">
        <v>97</v>
      </c>
      <c r="H33" s="188"/>
      <c r="J33" s="10"/>
    </row>
    <row r="34" spans="1:11" customFormat="1" x14ac:dyDescent="0.2">
      <c r="B34" s="150" t="s">
        <v>25</v>
      </c>
      <c r="C34" s="1"/>
      <c r="D34" s="1"/>
      <c r="E34" s="1"/>
      <c r="F34" s="1"/>
    </row>
    <row r="35" spans="1:11" x14ac:dyDescent="0.2">
      <c r="A35" s="57"/>
    </row>
    <row r="36" spans="1:11" x14ac:dyDescent="0.2">
      <c r="A36" s="57"/>
    </row>
    <row r="37" spans="1:11" x14ac:dyDescent="0.2">
      <c r="A37" s="65"/>
    </row>
    <row r="38" spans="1:11" x14ac:dyDescent="0.2">
      <c r="A38" s="57"/>
    </row>
    <row r="39" spans="1:11" x14ac:dyDescent="0.2">
      <c r="A39" s="57"/>
    </row>
    <row r="40" spans="1:11" x14ac:dyDescent="0.2">
      <c r="A40" s="57"/>
    </row>
    <row r="41" spans="1:11" x14ac:dyDescent="0.2">
      <c r="A41" s="65"/>
    </row>
    <row r="42" spans="1:11" x14ac:dyDescent="0.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</row>
    <row r="43" spans="1:11" ht="12.75" customHeight="1" x14ac:dyDescent="0.2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</row>
    <row r="44" spans="1:11" ht="12.75" customHeight="1" x14ac:dyDescent="0.2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</row>
    <row r="45" spans="1:11" x14ac:dyDescent="0.2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</row>
    <row r="46" spans="1:11" x14ac:dyDescent="0.2">
      <c r="A46" s="57"/>
      <c r="B46" s="57"/>
    </row>
    <row r="47" spans="1:11" x14ac:dyDescent="0.2">
      <c r="A47" s="57"/>
      <c r="B47" s="57"/>
    </row>
    <row r="48" spans="1:11" x14ac:dyDescent="0.2">
      <c r="A48" s="57"/>
      <c r="B48" s="57"/>
    </row>
    <row r="49" spans="1:11" x14ac:dyDescent="0.2">
      <c r="A49" s="57"/>
      <c r="B49" s="57"/>
    </row>
    <row r="50" spans="1:11" x14ac:dyDescent="0.2">
      <c r="A50" s="65"/>
      <c r="B50" s="57"/>
    </row>
    <row r="51" spans="1:11" x14ac:dyDescent="0.2">
      <c r="A51" s="57"/>
      <c r="B51" s="57"/>
    </row>
    <row r="52" spans="1:11" x14ac:dyDescent="0.2">
      <c r="A52" s="57"/>
      <c r="B52" s="57"/>
    </row>
    <row r="53" spans="1:11" x14ac:dyDescent="0.2">
      <c r="A53" s="57"/>
      <c r="B53" s="57"/>
    </row>
    <row r="54" spans="1:11" x14ac:dyDescent="0.2">
      <c r="A54" s="57"/>
      <c r="B54" s="57"/>
    </row>
    <row r="55" spans="1:11" x14ac:dyDescent="0.2">
      <c r="A55" s="57"/>
      <c r="B55" s="57"/>
    </row>
    <row r="56" spans="1:11" x14ac:dyDescent="0.2">
      <c r="A56" s="57"/>
      <c r="B56" s="57"/>
    </row>
    <row r="57" spans="1:11" x14ac:dyDescent="0.2">
      <c r="A57" s="65"/>
      <c r="B57" s="65"/>
    </row>
    <row r="58" spans="1:11" x14ac:dyDescent="0.2">
      <c r="A58" s="203"/>
      <c r="B58" s="203"/>
      <c r="C58" s="203"/>
      <c r="D58" s="203"/>
      <c r="E58" s="203"/>
      <c r="F58" s="203"/>
      <c r="G58" s="203"/>
      <c r="H58" s="203"/>
      <c r="I58" s="203"/>
      <c r="J58" s="203"/>
      <c r="K58" s="203"/>
    </row>
    <row r="59" spans="1:11" x14ac:dyDescent="0.2">
      <c r="A59" s="57"/>
    </row>
    <row r="60" spans="1:11" x14ac:dyDescent="0.2">
      <c r="A60" s="57"/>
    </row>
    <row r="61" spans="1:11" x14ac:dyDescent="0.2">
      <c r="A61" s="65"/>
    </row>
    <row r="62" spans="1:11" x14ac:dyDescent="0.2">
      <c r="A62" s="57"/>
    </row>
    <row r="63" spans="1:11" x14ac:dyDescent="0.2">
      <c r="A63" s="57"/>
    </row>
    <row r="64" spans="1:11" x14ac:dyDescent="0.2">
      <c r="A64" s="57"/>
    </row>
    <row r="65" spans="1:1" x14ac:dyDescent="0.2">
      <c r="A65" s="65"/>
    </row>
  </sheetData>
  <mergeCells count="30">
    <mergeCell ref="A58:K58"/>
    <mergeCell ref="I4:I5"/>
    <mergeCell ref="J4:J5"/>
    <mergeCell ref="A4:A5"/>
    <mergeCell ref="B4:B5"/>
    <mergeCell ref="C4:C5"/>
    <mergeCell ref="D4:H4"/>
    <mergeCell ref="A11:A17"/>
    <mergeCell ref="B11:B17"/>
    <mergeCell ref="C11:C17"/>
    <mergeCell ref="J11:J17"/>
    <mergeCell ref="I11:I17"/>
    <mergeCell ref="E28:F28"/>
    <mergeCell ref="G28:H28"/>
    <mergeCell ref="G32:H32"/>
    <mergeCell ref="E33:F33"/>
    <mergeCell ref="G33:H33"/>
    <mergeCell ref="B22:D22"/>
    <mergeCell ref="A1:J1"/>
    <mergeCell ref="G22:H22"/>
    <mergeCell ref="E23:F23"/>
    <mergeCell ref="G23:H23"/>
    <mergeCell ref="G27:H27"/>
    <mergeCell ref="A2:J2"/>
    <mergeCell ref="I8:I9"/>
    <mergeCell ref="J8:J9"/>
    <mergeCell ref="A3:J3"/>
    <mergeCell ref="C8:C9"/>
    <mergeCell ref="B8:B9"/>
    <mergeCell ref="A8:A9"/>
  </mergeCells>
  <phoneticPr fontId="10" type="noConversion"/>
  <pageMargins left="0.7" right="0.7" top="0.75" bottom="0.75" header="0.3" footer="0.3"/>
  <pageSetup paperSize="9" scale="52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КС-2 №1</vt:lpstr>
      <vt:lpstr>КС-3 №1</vt:lpstr>
      <vt:lpstr>Удержания</vt:lpstr>
      <vt:lpstr>'КС-2 №1'!Print_Area</vt:lpstr>
      <vt:lpstr>'КС-3 №1'!Print_Area</vt:lpstr>
      <vt:lpstr>'КС-2 №1'!Print_Titles</vt:lpstr>
      <vt:lpstr>'КС-2 №1'!Область_печати</vt:lpstr>
      <vt:lpstr>'КС-3 №1'!Область_печати</vt:lpstr>
      <vt:lpstr>Удержания!Область_печати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</dc:creator>
  <cp:lastModifiedBy>Марина Зорина Сергеевна</cp:lastModifiedBy>
  <cp:lastPrinted>2025-10-17T12:36:24Z</cp:lastPrinted>
  <dcterms:created xsi:type="dcterms:W3CDTF">2007-03-27T01:46:26Z</dcterms:created>
  <dcterms:modified xsi:type="dcterms:W3CDTF">2025-11-20T09:01:08Z</dcterms:modified>
</cp:coreProperties>
</file>